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er\Documentos\TEORIA 2026B\VigiMalaria_TP6\entregables\"/>
    </mc:Choice>
  </mc:AlternateContent>
  <xr:revisionPtr revIDLastSave="0" documentId="8_{A1CF289D-9B8A-4146-A8A5-A0B3E95A23F9}" xr6:coauthVersionLast="47" xr6:coauthVersionMax="47" xr10:uidLastSave="{00000000-0000-0000-0000-000000000000}"/>
  <bookViews>
    <workbookView xWindow="-120" yWindow="-120" windowWidth="29040" windowHeight="15720" xr2:uid="{00000000-000D-0000-FFFF-FFFF00000000}"/>
  </bookViews>
  <sheets>
    <sheet name="Instrucciones" sheetId="1" r:id="rId1"/>
    <sheet name="Modelo" sheetId="2" r:id="rId2"/>
    <sheet name="Métricas" sheetId="3" r:id="rId3"/>
    <sheet name="Registro" sheetId="4" r:id="rId4"/>
    <sheet name="Incidentes" sheetId="5" r:id="rId5"/>
    <sheet name="Resumen" sheetId="6" r:id="rId6"/>
    <sheet name="Requisitos" sheetId="7" r:id="rId7"/>
  </sheets>
  <definedNames>
    <definedName name="_xlnm._FilterDatabase" localSheetId="3" hidden="1">Registro!$A$1:$Z$226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226" i="4" l="1"/>
  <c r="T226" i="4" s="1"/>
  <c r="U226" i="4" s="1"/>
  <c r="O225" i="4"/>
  <c r="T225" i="4" s="1"/>
  <c r="U225" i="4" s="1"/>
  <c r="O224" i="4"/>
  <c r="S224" i="4" s="1"/>
  <c r="O223" i="4"/>
  <c r="T223" i="4" s="1"/>
  <c r="U223" i="4" s="1"/>
  <c r="O222" i="4"/>
  <c r="S222" i="4" s="1"/>
  <c r="O221" i="4"/>
  <c r="T221" i="4" s="1"/>
  <c r="U221" i="4" s="1"/>
  <c r="O220" i="4"/>
  <c r="S220" i="4" s="1"/>
  <c r="O219" i="4"/>
  <c r="T219" i="4" s="1"/>
  <c r="U219" i="4" s="1"/>
  <c r="S218" i="4"/>
  <c r="O218" i="4"/>
  <c r="T218" i="4" s="1"/>
  <c r="U218" i="4" s="1"/>
  <c r="O217" i="4"/>
  <c r="S217" i="4" s="1"/>
  <c r="O216" i="4"/>
  <c r="T216" i="4" s="1"/>
  <c r="U216" i="4" s="1"/>
  <c r="T215" i="4"/>
  <c r="U215" i="4" s="1"/>
  <c r="O215" i="4"/>
  <c r="S215" i="4" s="1"/>
  <c r="O214" i="4"/>
  <c r="S214" i="4" s="1"/>
  <c r="O213" i="4"/>
  <c r="T213" i="4" s="1"/>
  <c r="U213" i="4" s="1"/>
  <c r="O212" i="4"/>
  <c r="S212" i="4" s="1"/>
  <c r="O211" i="4"/>
  <c r="T211" i="4" s="1"/>
  <c r="U211" i="4" s="1"/>
  <c r="O210" i="4"/>
  <c r="S210" i="4" s="1"/>
  <c r="O209" i="4"/>
  <c r="T209" i="4" s="1"/>
  <c r="U209" i="4" s="1"/>
  <c r="O208" i="4"/>
  <c r="T208" i="4" s="1"/>
  <c r="U208" i="4" s="1"/>
  <c r="O207" i="4"/>
  <c r="S207" i="4" s="1"/>
  <c r="O206" i="4"/>
  <c r="T206" i="4" s="1"/>
  <c r="U206" i="4" s="1"/>
  <c r="T205" i="4"/>
  <c r="U205" i="4" s="1"/>
  <c r="O205" i="4"/>
  <c r="S205" i="4" s="1"/>
  <c r="O204" i="4"/>
  <c r="S204" i="4" s="1"/>
  <c r="O203" i="4"/>
  <c r="T203" i="4" s="1"/>
  <c r="U203" i="4" s="1"/>
  <c r="O202" i="4"/>
  <c r="S202" i="4" s="1"/>
  <c r="O201" i="4"/>
  <c r="T201" i="4" s="1"/>
  <c r="U201" i="4" s="1"/>
  <c r="O200" i="4"/>
  <c r="T200" i="4" s="1"/>
  <c r="U200" i="4" s="1"/>
  <c r="O199" i="4"/>
  <c r="S199" i="4" s="1"/>
  <c r="O198" i="4"/>
  <c r="T198" i="4" s="1"/>
  <c r="U198" i="4" s="1"/>
  <c r="O197" i="4"/>
  <c r="S197" i="4" s="1"/>
  <c r="O196" i="4"/>
  <c r="T196" i="4" s="1"/>
  <c r="U196" i="4" s="1"/>
  <c r="O195" i="4"/>
  <c r="S195" i="4" s="1"/>
  <c r="N9" i="6" s="1"/>
  <c r="T194" i="4"/>
  <c r="U194" i="4" s="1"/>
  <c r="S194" i="4"/>
  <c r="M9" i="6" s="1"/>
  <c r="O194" i="4"/>
  <c r="O193" i="4"/>
  <c r="T193" i="4" s="1"/>
  <c r="U193" i="4" s="1"/>
  <c r="O192" i="4"/>
  <c r="S192" i="4" s="1"/>
  <c r="F9" i="6" s="1"/>
  <c r="O191" i="4"/>
  <c r="O190" i="4"/>
  <c r="T190" i="4" s="1"/>
  <c r="U190" i="4" s="1"/>
  <c r="O189" i="4"/>
  <c r="S189" i="4" s="1"/>
  <c r="O188" i="4"/>
  <c r="T188" i="4" s="1"/>
  <c r="U188" i="4" s="1"/>
  <c r="O187" i="4"/>
  <c r="S187" i="4" s="1"/>
  <c r="O186" i="4"/>
  <c r="T186" i="4" s="1"/>
  <c r="U186" i="4" s="1"/>
  <c r="O185" i="4"/>
  <c r="O184" i="4"/>
  <c r="T184" i="4" s="1"/>
  <c r="U184" i="4" s="1"/>
  <c r="O183" i="4"/>
  <c r="T183" i="4" s="1"/>
  <c r="U183" i="4" s="1"/>
  <c r="O182" i="4"/>
  <c r="S182" i="4" s="1"/>
  <c r="O181" i="4"/>
  <c r="T181" i="4" s="1"/>
  <c r="U181" i="4" s="1"/>
  <c r="T180" i="4"/>
  <c r="U180" i="4" s="1"/>
  <c r="O180" i="4"/>
  <c r="S180" i="4" s="1"/>
  <c r="O179" i="4"/>
  <c r="T179" i="4" s="1"/>
  <c r="U179" i="4" s="1"/>
  <c r="S178" i="4"/>
  <c r="O178" i="4"/>
  <c r="T178" i="4" s="1"/>
  <c r="U178" i="4" s="1"/>
  <c r="O177" i="4"/>
  <c r="S177" i="4" s="1"/>
  <c r="O176" i="4"/>
  <c r="T176" i="4" s="1"/>
  <c r="U176" i="4" s="1"/>
  <c r="O175" i="4"/>
  <c r="T175" i="4" s="1"/>
  <c r="U175" i="4" s="1"/>
  <c r="O174" i="4"/>
  <c r="S174" i="4" s="1"/>
  <c r="O173" i="4"/>
  <c r="T173" i="4" s="1"/>
  <c r="U173" i="4" s="1"/>
  <c r="O172" i="4"/>
  <c r="S172" i="4" s="1"/>
  <c r="O171" i="4"/>
  <c r="T171" i="4" s="1"/>
  <c r="U171" i="4" s="1"/>
  <c r="O170" i="4"/>
  <c r="S170" i="4" s="1"/>
  <c r="O169" i="4"/>
  <c r="T169" i="4" s="1"/>
  <c r="U169" i="4" s="1"/>
  <c r="S168" i="4"/>
  <c r="O168" i="4"/>
  <c r="T168" i="4" s="1"/>
  <c r="U168" i="4" s="1"/>
  <c r="O167" i="4"/>
  <c r="S167" i="4" s="1"/>
  <c r="O166" i="4"/>
  <c r="T166" i="4" s="1"/>
  <c r="U166" i="4" s="1"/>
  <c r="O165" i="4"/>
  <c r="S165" i="4" s="1"/>
  <c r="O164" i="4"/>
  <c r="S164" i="4" s="1"/>
  <c r="O163" i="4"/>
  <c r="T163" i="4" s="1"/>
  <c r="U163" i="4" s="1"/>
  <c r="O162" i="4"/>
  <c r="S162" i="4" s="1"/>
  <c r="O161" i="4"/>
  <c r="T161" i="4" s="1"/>
  <c r="U161" i="4" s="1"/>
  <c r="O160" i="4"/>
  <c r="T160" i="4" s="1"/>
  <c r="U160" i="4" s="1"/>
  <c r="O159" i="4"/>
  <c r="T159" i="4" s="1"/>
  <c r="U159" i="4" s="1"/>
  <c r="O158" i="4"/>
  <c r="T158" i="4" s="1"/>
  <c r="U158" i="4" s="1"/>
  <c r="O157" i="4"/>
  <c r="S157" i="4" s="1"/>
  <c r="O156" i="4"/>
  <c r="T156" i="4" s="1"/>
  <c r="U156" i="4" s="1"/>
  <c r="O155" i="4"/>
  <c r="S155" i="4" s="1"/>
  <c r="O154" i="4"/>
  <c r="S153" i="4"/>
  <c r="O153" i="4"/>
  <c r="T153" i="4" s="1"/>
  <c r="U153" i="4" s="1"/>
  <c r="T152" i="4"/>
  <c r="U152" i="4" s="1"/>
  <c r="O152" i="4"/>
  <c r="S152" i="4" s="1"/>
  <c r="O151" i="4"/>
  <c r="T151" i="4" s="1"/>
  <c r="U151" i="4" s="1"/>
  <c r="O150" i="4"/>
  <c r="T150" i="4" s="1"/>
  <c r="U150" i="4" s="1"/>
  <c r="O149" i="4"/>
  <c r="S149" i="4" s="1"/>
  <c r="O148" i="4"/>
  <c r="T148" i="4" s="1"/>
  <c r="U148" i="4" s="1"/>
  <c r="O147" i="4"/>
  <c r="S147" i="4" s="1"/>
  <c r="O146" i="4"/>
  <c r="T146" i="4" s="1"/>
  <c r="U146" i="4" s="1"/>
  <c r="O145" i="4"/>
  <c r="S145" i="4" s="1"/>
  <c r="S144" i="4"/>
  <c r="O144" i="4"/>
  <c r="T144" i="4" s="1"/>
  <c r="U144" i="4" s="1"/>
  <c r="O143" i="4"/>
  <c r="T143" i="4" s="1"/>
  <c r="U143" i="4" s="1"/>
  <c r="O142" i="4"/>
  <c r="S142" i="4" s="1"/>
  <c r="O141" i="4"/>
  <c r="O140" i="4"/>
  <c r="T140" i="4" s="1"/>
  <c r="U140" i="4" s="1"/>
  <c r="O139" i="4"/>
  <c r="S139" i="4" s="1"/>
  <c r="O138" i="4"/>
  <c r="T138" i="4" s="1"/>
  <c r="U138" i="4" s="1"/>
  <c r="O137" i="4"/>
  <c r="S137" i="4" s="1"/>
  <c r="O136" i="4"/>
  <c r="T136" i="4" s="1"/>
  <c r="U136" i="4" s="1"/>
  <c r="O135" i="4"/>
  <c r="O134" i="4"/>
  <c r="S134" i="4" s="1"/>
  <c r="O133" i="4"/>
  <c r="T133" i="4" s="1"/>
  <c r="U133" i="4" s="1"/>
  <c r="O132" i="4"/>
  <c r="S132" i="4" s="1"/>
  <c r="S131" i="4"/>
  <c r="O131" i="4"/>
  <c r="T131" i="4" s="1"/>
  <c r="U131" i="4" s="1"/>
  <c r="O130" i="4"/>
  <c r="S130" i="4" s="1"/>
  <c r="O129" i="4"/>
  <c r="O128" i="4"/>
  <c r="T128" i="4" s="1"/>
  <c r="U128" i="4" s="1"/>
  <c r="O127" i="4"/>
  <c r="S127" i="4" s="1"/>
  <c r="O126" i="4"/>
  <c r="T126" i="4" s="1"/>
  <c r="U126" i="4" s="1"/>
  <c r="O125" i="4"/>
  <c r="T125" i="4" s="1"/>
  <c r="U125" i="4" s="1"/>
  <c r="O124" i="4"/>
  <c r="S124" i="4" s="1"/>
  <c r="O123" i="4"/>
  <c r="T123" i="4" s="1"/>
  <c r="U123" i="4" s="1"/>
  <c r="O122" i="4"/>
  <c r="S122" i="4" s="1"/>
  <c r="O121" i="4"/>
  <c r="T121" i="4" s="1"/>
  <c r="U121" i="4" s="1"/>
  <c r="O120" i="4"/>
  <c r="S120" i="4" s="1"/>
  <c r="S119" i="4"/>
  <c r="O119" i="4"/>
  <c r="T119" i="4" s="1"/>
  <c r="U119" i="4" s="1"/>
  <c r="O118" i="4"/>
  <c r="T118" i="4" s="1"/>
  <c r="U118" i="4" s="1"/>
  <c r="O117" i="4"/>
  <c r="S117" i="4" s="1"/>
  <c r="O116" i="4"/>
  <c r="O115" i="4"/>
  <c r="T115" i="4" s="1"/>
  <c r="U115" i="4" s="1"/>
  <c r="O114" i="4"/>
  <c r="S114" i="4" s="1"/>
  <c r="O113" i="4"/>
  <c r="T113" i="4" s="1"/>
  <c r="U113" i="4" s="1"/>
  <c r="O112" i="4"/>
  <c r="T112" i="4" s="1"/>
  <c r="U112" i="4" s="1"/>
  <c r="O111" i="4"/>
  <c r="T111" i="4" s="1"/>
  <c r="U111" i="4" s="1"/>
  <c r="O110" i="4"/>
  <c r="T110" i="4" s="1"/>
  <c r="U110" i="4" s="1"/>
  <c r="O109" i="4"/>
  <c r="S109" i="4" s="1"/>
  <c r="U108" i="4"/>
  <c r="S108" i="4"/>
  <c r="O108" i="4"/>
  <c r="T108" i="4" s="1"/>
  <c r="O107" i="4"/>
  <c r="T107" i="4" s="1"/>
  <c r="U107" i="4" s="1"/>
  <c r="O106" i="4"/>
  <c r="T106" i="4" s="1"/>
  <c r="U106" i="4" s="1"/>
  <c r="O105" i="4"/>
  <c r="T105" i="4" s="1"/>
  <c r="U105" i="4" s="1"/>
  <c r="O104" i="4"/>
  <c r="T104" i="4" s="1"/>
  <c r="U104" i="4" s="1"/>
  <c r="S103" i="4"/>
  <c r="O103" i="4"/>
  <c r="T103" i="4" s="1"/>
  <c r="U103" i="4" s="1"/>
  <c r="O102" i="4"/>
  <c r="T102" i="4" s="1"/>
  <c r="U102" i="4" s="1"/>
  <c r="O101" i="4"/>
  <c r="T101" i="4" s="1"/>
  <c r="U101" i="4" s="1"/>
  <c r="O100" i="4"/>
  <c r="T100" i="4" s="1"/>
  <c r="U100" i="4" s="1"/>
  <c r="O99" i="4"/>
  <c r="S99" i="4" s="1"/>
  <c r="O98" i="4"/>
  <c r="T98" i="4" s="1"/>
  <c r="U98" i="4" s="1"/>
  <c r="O97" i="4"/>
  <c r="T97" i="4" s="1"/>
  <c r="U97" i="4" s="1"/>
  <c r="O96" i="4"/>
  <c r="T96" i="4" s="1"/>
  <c r="U96" i="4" s="1"/>
  <c r="O95" i="4"/>
  <c r="T95" i="4" s="1"/>
  <c r="U95" i="4" s="1"/>
  <c r="T94" i="4"/>
  <c r="U94" i="4" s="1"/>
  <c r="O94" i="4"/>
  <c r="S94" i="4" s="1"/>
  <c r="O93" i="4"/>
  <c r="T93" i="4" s="1"/>
  <c r="U93" i="4" s="1"/>
  <c r="T92" i="4"/>
  <c r="U92" i="4" s="1"/>
  <c r="O92" i="4"/>
  <c r="S92" i="4" s="1"/>
  <c r="O91" i="4"/>
  <c r="T91" i="4" s="1"/>
  <c r="U91" i="4" s="1"/>
  <c r="O90" i="4"/>
  <c r="T90" i="4" s="1"/>
  <c r="U90" i="4" s="1"/>
  <c r="O89" i="4"/>
  <c r="S89" i="4" s="1"/>
  <c r="O88" i="4"/>
  <c r="T88" i="4" s="1"/>
  <c r="U88" i="4" s="1"/>
  <c r="O87" i="4"/>
  <c r="O86" i="4"/>
  <c r="T86" i="4" s="1"/>
  <c r="U86" i="4" s="1"/>
  <c r="O85" i="4"/>
  <c r="S85" i="4" s="1"/>
  <c r="O84" i="4"/>
  <c r="T84" i="4" s="1"/>
  <c r="U84" i="4" s="1"/>
  <c r="U83" i="4"/>
  <c r="S83" i="4"/>
  <c r="O83" i="4"/>
  <c r="T83" i="4" s="1"/>
  <c r="T82" i="4"/>
  <c r="U82" i="4" s="1"/>
  <c r="S82" i="4"/>
  <c r="O82" i="4"/>
  <c r="O81" i="4"/>
  <c r="T81" i="4" s="1"/>
  <c r="U81" i="4" s="1"/>
  <c r="O80" i="4"/>
  <c r="T80" i="4" s="1"/>
  <c r="U80" i="4" s="1"/>
  <c r="O79" i="4"/>
  <c r="T79" i="4" s="1"/>
  <c r="U79" i="4" s="1"/>
  <c r="O78" i="4"/>
  <c r="T78" i="4" s="1"/>
  <c r="U78" i="4" s="1"/>
  <c r="O77" i="4"/>
  <c r="S77" i="4" s="1"/>
  <c r="O76" i="4"/>
  <c r="T76" i="4" s="1"/>
  <c r="U76" i="4" s="1"/>
  <c r="O75" i="4"/>
  <c r="O74" i="4"/>
  <c r="S74" i="4" s="1"/>
  <c r="O73" i="4"/>
  <c r="T73" i="4" s="1"/>
  <c r="U73" i="4" s="1"/>
  <c r="O72" i="4"/>
  <c r="T72" i="4" s="1"/>
  <c r="U72" i="4" s="1"/>
  <c r="S71" i="4"/>
  <c r="O71" i="4"/>
  <c r="T71" i="4" s="1"/>
  <c r="U71" i="4" s="1"/>
  <c r="O70" i="4"/>
  <c r="S70" i="4" s="1"/>
  <c r="O69" i="4"/>
  <c r="T69" i="4" s="1"/>
  <c r="U69" i="4" s="1"/>
  <c r="O68" i="4"/>
  <c r="T68" i="4" s="1"/>
  <c r="U68" i="4" s="1"/>
  <c r="O67" i="4"/>
  <c r="S67" i="4" s="1"/>
  <c r="O66" i="4"/>
  <c r="T66" i="4" s="1"/>
  <c r="U66" i="4" s="1"/>
  <c r="O65" i="4"/>
  <c r="S65" i="4" s="1"/>
  <c r="O64" i="4"/>
  <c r="T64" i="4" s="1"/>
  <c r="U64" i="4" s="1"/>
  <c r="S63" i="4"/>
  <c r="O63" i="4"/>
  <c r="T63" i="4" s="1"/>
  <c r="U63" i="4" s="1"/>
  <c r="O62" i="4"/>
  <c r="T62" i="4" s="1"/>
  <c r="U62" i="4" s="1"/>
  <c r="S61" i="4"/>
  <c r="O61" i="4"/>
  <c r="T61" i="4" s="1"/>
  <c r="U61" i="4" s="1"/>
  <c r="O60" i="4"/>
  <c r="T60" i="4" s="1"/>
  <c r="U60" i="4" s="1"/>
  <c r="S59" i="4"/>
  <c r="L4" i="6" s="1"/>
  <c r="O59" i="4"/>
  <c r="T59" i="4" s="1"/>
  <c r="U59" i="4" s="1"/>
  <c r="O58" i="4"/>
  <c r="T58" i="4" s="1"/>
  <c r="U58" i="4" s="1"/>
  <c r="O57" i="4"/>
  <c r="T57" i="4" s="1"/>
  <c r="U57" i="4" s="1"/>
  <c r="O56" i="4"/>
  <c r="T56" i="4" s="1"/>
  <c r="U56" i="4" s="1"/>
  <c r="O55" i="4"/>
  <c r="S55" i="4" s="1"/>
  <c r="O54" i="4"/>
  <c r="T54" i="4" s="1"/>
  <c r="U54" i="4" s="1"/>
  <c r="O53" i="4"/>
  <c r="T53" i="4" s="1"/>
  <c r="U53" i="4" s="1"/>
  <c r="O52" i="4"/>
  <c r="T52" i="4" s="1"/>
  <c r="U52" i="4" s="1"/>
  <c r="O51" i="4"/>
  <c r="T51" i="4" s="1"/>
  <c r="U51" i="4" s="1"/>
  <c r="O50" i="4"/>
  <c r="T50" i="4" s="1"/>
  <c r="U50" i="4" s="1"/>
  <c r="O49" i="4"/>
  <c r="T49" i="4" s="1"/>
  <c r="U49" i="4" s="1"/>
  <c r="O48" i="4"/>
  <c r="T48" i="4" s="1"/>
  <c r="U48" i="4" s="1"/>
  <c r="T47" i="4"/>
  <c r="U47" i="4" s="1"/>
  <c r="O47" i="4"/>
  <c r="S47" i="4" s="1"/>
  <c r="O46" i="4"/>
  <c r="T46" i="4" s="1"/>
  <c r="U46" i="4" s="1"/>
  <c r="O45" i="4"/>
  <c r="T45" i="4" s="1"/>
  <c r="U45" i="4" s="1"/>
  <c r="O44" i="4"/>
  <c r="T44" i="4" s="1"/>
  <c r="U44" i="4" s="1"/>
  <c r="O43" i="4"/>
  <c r="T43" i="4" s="1"/>
  <c r="U43" i="4" s="1"/>
  <c r="O42" i="4"/>
  <c r="T42" i="4" s="1"/>
  <c r="U42" i="4" s="1"/>
  <c r="O41" i="4"/>
  <c r="T41" i="4" s="1"/>
  <c r="U41" i="4" s="1"/>
  <c r="O40" i="4"/>
  <c r="T40" i="4" s="1"/>
  <c r="U40" i="4" s="1"/>
  <c r="O39" i="4"/>
  <c r="S39" i="4" s="1"/>
  <c r="O38" i="4"/>
  <c r="T38" i="4" s="1"/>
  <c r="U38" i="4" s="1"/>
  <c r="O37" i="4"/>
  <c r="T37" i="4" s="1"/>
  <c r="U37" i="4" s="1"/>
  <c r="O36" i="4"/>
  <c r="T36" i="4" s="1"/>
  <c r="U36" i="4" s="1"/>
  <c r="O35" i="4"/>
  <c r="S35" i="4" s="1"/>
  <c r="O34" i="4"/>
  <c r="O33" i="4"/>
  <c r="T33" i="4" s="1"/>
  <c r="U33" i="4" s="1"/>
  <c r="O32" i="4"/>
  <c r="S32" i="4" s="1"/>
  <c r="O31" i="4"/>
  <c r="T31" i="4" s="1"/>
  <c r="U31" i="4" s="1"/>
  <c r="O30" i="4"/>
  <c r="S30" i="4" s="1"/>
  <c r="O29" i="4"/>
  <c r="T29" i="4" s="1"/>
  <c r="U29" i="4" s="1"/>
  <c r="O28" i="4"/>
  <c r="T28" i="4" s="1"/>
  <c r="U28" i="4" s="1"/>
  <c r="O27" i="4"/>
  <c r="T27" i="4" s="1"/>
  <c r="U27" i="4" s="1"/>
  <c r="O26" i="4"/>
  <c r="T26" i="4" s="1"/>
  <c r="U26" i="4" s="1"/>
  <c r="O25" i="4"/>
  <c r="T25" i="4" s="1"/>
  <c r="U25" i="4" s="1"/>
  <c r="O24" i="4"/>
  <c r="S24" i="4" s="1"/>
  <c r="S23" i="4"/>
  <c r="O23" i="4"/>
  <c r="T23" i="4" s="1"/>
  <c r="U23" i="4" s="1"/>
  <c r="S22" i="4"/>
  <c r="O22" i="4"/>
  <c r="T22" i="4" s="1"/>
  <c r="U22" i="4" s="1"/>
  <c r="O21" i="4"/>
  <c r="T21" i="4" s="1"/>
  <c r="U21" i="4" s="1"/>
  <c r="O20" i="4"/>
  <c r="S20" i="4" s="1"/>
  <c r="O19" i="4"/>
  <c r="T19" i="4" s="1"/>
  <c r="U19" i="4" s="1"/>
  <c r="O18" i="4"/>
  <c r="T18" i="4" s="1"/>
  <c r="U18" i="4" s="1"/>
  <c r="O17" i="4"/>
  <c r="T17" i="4" s="1"/>
  <c r="U17" i="4" s="1"/>
  <c r="O16" i="4"/>
  <c r="O15" i="4"/>
  <c r="T15" i="4" s="1"/>
  <c r="U15" i="4" s="1"/>
  <c r="T14" i="4"/>
  <c r="U14" i="4" s="1"/>
  <c r="O14" i="4"/>
  <c r="S14" i="4" s="1"/>
  <c r="O13" i="4"/>
  <c r="T13" i="4" s="1"/>
  <c r="U13" i="4" s="1"/>
  <c r="S12" i="4"/>
  <c r="O12" i="4"/>
  <c r="T12" i="4" s="1"/>
  <c r="U12" i="4" s="1"/>
  <c r="O11" i="4"/>
  <c r="T11" i="4" s="1"/>
  <c r="U11" i="4" s="1"/>
  <c r="O10" i="4"/>
  <c r="T10" i="4" s="1"/>
  <c r="U10" i="4" s="1"/>
  <c r="O9" i="4"/>
  <c r="S9" i="4" s="1"/>
  <c r="O8" i="4"/>
  <c r="T8" i="4" s="1"/>
  <c r="U8" i="4" s="1"/>
  <c r="O7" i="4"/>
  <c r="T7" i="4" s="1"/>
  <c r="U7" i="4" s="1"/>
  <c r="O6" i="4"/>
  <c r="T6" i="4" s="1"/>
  <c r="U6" i="4" s="1"/>
  <c r="O5" i="4"/>
  <c r="T5" i="4" s="1"/>
  <c r="U5" i="4" s="1"/>
  <c r="O4" i="4"/>
  <c r="T4" i="4" s="1"/>
  <c r="U4" i="4" s="1"/>
  <c r="O3" i="4"/>
  <c r="T3" i="4" s="1"/>
  <c r="U3" i="4" s="1"/>
  <c r="O2" i="4"/>
  <c r="T2" i="4" s="1"/>
  <c r="U2" i="4" s="1"/>
  <c r="S156" i="4" l="1"/>
  <c r="S158" i="4"/>
  <c r="S133" i="4"/>
  <c r="E7" i="6"/>
  <c r="S171" i="4"/>
  <c r="S42" i="4"/>
  <c r="S28" i="4"/>
  <c r="S79" i="4"/>
  <c r="S188" i="4"/>
  <c r="T224" i="4"/>
  <c r="U224" i="4" s="1"/>
  <c r="T32" i="4"/>
  <c r="U32" i="4" s="1"/>
  <c r="T70" i="4"/>
  <c r="U70" i="4" s="1"/>
  <c r="S80" i="4"/>
  <c r="T89" i="4"/>
  <c r="U89" i="4" s="1"/>
  <c r="T114" i="4"/>
  <c r="U114" i="4" s="1"/>
  <c r="T139" i="4"/>
  <c r="U139" i="4" s="1"/>
  <c r="S163" i="4"/>
  <c r="S175" i="4"/>
  <c r="S200" i="4"/>
  <c r="S213" i="4"/>
  <c r="P10" i="6" s="1"/>
  <c r="T65" i="4"/>
  <c r="U65" i="4" s="1"/>
  <c r="T195" i="4"/>
  <c r="U195" i="4" s="1"/>
  <c r="S3" i="4"/>
  <c r="S98" i="4"/>
  <c r="S123" i="4"/>
  <c r="S148" i="4"/>
  <c r="S68" i="4"/>
  <c r="S100" i="4"/>
  <c r="D8" i="6"/>
  <c r="T189" i="4"/>
  <c r="U189" i="4" s="1"/>
  <c r="S225" i="4"/>
  <c r="S33" i="4"/>
  <c r="S128" i="4"/>
  <c r="S140" i="4"/>
  <c r="T164" i="4"/>
  <c r="U164" i="4" s="1"/>
  <c r="T214" i="4"/>
  <c r="U214" i="4" s="1"/>
  <c r="S27" i="4"/>
  <c r="X2" i="6" s="1"/>
  <c r="T145" i="4"/>
  <c r="U145" i="4" s="1"/>
  <c r="S219" i="4"/>
  <c r="S41" i="4"/>
  <c r="M3" i="6" s="1"/>
  <c r="S111" i="4"/>
  <c r="S78" i="4"/>
  <c r="T30" i="4"/>
  <c r="U30" i="4" s="1"/>
  <c r="S112" i="4"/>
  <c r="S173" i="4"/>
  <c r="S223" i="4"/>
  <c r="S43" i="4"/>
  <c r="S125" i="4"/>
  <c r="S150" i="4"/>
  <c r="T199" i="4"/>
  <c r="U199" i="4" s="1"/>
  <c r="S51" i="4"/>
  <c r="S181" i="4"/>
  <c r="S95" i="4"/>
  <c r="T170" i="4"/>
  <c r="U170" i="4" s="1"/>
  <c r="S53" i="4"/>
  <c r="S18" i="4"/>
  <c r="T55" i="4"/>
  <c r="U55" i="4" s="1"/>
  <c r="T20" i="4"/>
  <c r="U20" i="4" s="1"/>
  <c r="S169" i="4"/>
  <c r="Q8" i="6" s="1"/>
  <c r="T120" i="4"/>
  <c r="U120" i="4" s="1"/>
  <c r="S110" i="4"/>
  <c r="S196" i="4"/>
  <c r="S8" i="4"/>
  <c r="S203" i="4"/>
  <c r="S206" i="4"/>
  <c r="S183" i="4"/>
  <c r="T220" i="4"/>
  <c r="U220" i="4" s="1"/>
  <c r="S159" i="4"/>
  <c r="S88" i="4"/>
  <c r="S113" i="4"/>
  <c r="T174" i="4"/>
  <c r="U174" i="4" s="1"/>
  <c r="T24" i="4"/>
  <c r="U24" i="4" s="1"/>
  <c r="S48" i="4"/>
  <c r="S13" i="4"/>
  <c r="S73" i="4"/>
  <c r="S93" i="4"/>
  <c r="S107" i="4"/>
  <c r="S118" i="4"/>
  <c r="T130" i="4"/>
  <c r="U130" i="4" s="1"/>
  <c r="S143" i="4"/>
  <c r="S193" i="4"/>
  <c r="S38" i="4"/>
  <c r="T77" i="4"/>
  <c r="U77" i="4" s="1"/>
  <c r="T85" i="4"/>
  <c r="U85" i="4" s="1"/>
  <c r="T67" i="4"/>
  <c r="U67" i="4" s="1"/>
  <c r="S208" i="4"/>
  <c r="T124" i="4"/>
  <c r="U124" i="4" s="1"/>
  <c r="T149" i="4"/>
  <c r="U149" i="4" s="1"/>
  <c r="S198" i="4"/>
  <c r="S138" i="4"/>
  <c r="S58" i="4"/>
  <c r="T35" i="4"/>
  <c r="U35" i="4" s="1"/>
  <c r="T155" i="4"/>
  <c r="U155" i="4" s="1"/>
  <c r="W2" i="6"/>
  <c r="F3" i="6"/>
  <c r="E3" i="6"/>
  <c r="G3" i="6"/>
  <c r="F8" i="6"/>
  <c r="G8" i="6"/>
  <c r="E8" i="6"/>
  <c r="S45" i="4"/>
  <c r="T191" i="4"/>
  <c r="U191" i="4" s="1"/>
  <c r="S191" i="4"/>
  <c r="S56" i="4"/>
  <c r="Y4" i="6"/>
  <c r="X4" i="6"/>
  <c r="W4" i="6"/>
  <c r="S97" i="4"/>
  <c r="T116" i="4"/>
  <c r="U116" i="4" s="1"/>
  <c r="S116" i="4"/>
  <c r="T222" i="4"/>
  <c r="U222" i="4" s="1"/>
  <c r="S21" i="4"/>
  <c r="F2" i="6" s="1"/>
  <c r="T147" i="4"/>
  <c r="U147" i="4" s="1"/>
  <c r="S10" i="6"/>
  <c r="R10" i="6"/>
  <c r="Q10" i="6"/>
  <c r="S75" i="4"/>
  <c r="T75" i="4"/>
  <c r="U75" i="4" s="1"/>
  <c r="S91" i="4"/>
  <c r="Z5" i="6" s="1"/>
  <c r="T109" i="4"/>
  <c r="U109" i="4" s="1"/>
  <c r="H7" i="6"/>
  <c r="I7" i="6"/>
  <c r="J7" i="6"/>
  <c r="T177" i="4"/>
  <c r="U177" i="4" s="1"/>
  <c r="T185" i="4"/>
  <c r="U185" i="4" s="1"/>
  <c r="S185" i="4"/>
  <c r="Q9" i="6"/>
  <c r="S9" i="6"/>
  <c r="R9" i="6"/>
  <c r="B8" i="6"/>
  <c r="S115" i="4"/>
  <c r="T39" i="4"/>
  <c r="U39" i="4" s="1"/>
  <c r="S57" i="4"/>
  <c r="T127" i="4"/>
  <c r="U127" i="4" s="1"/>
  <c r="T165" i="4"/>
  <c r="U165" i="4" s="1"/>
  <c r="S4" i="4"/>
  <c r="S50" i="4"/>
  <c r="K3" i="6" s="1"/>
  <c r="S129" i="4"/>
  <c r="T129" i="4"/>
  <c r="U129" i="4" s="1"/>
  <c r="V9" i="6"/>
  <c r="U9" i="6"/>
  <c r="T9" i="6"/>
  <c r="C8" i="6"/>
  <c r="T9" i="4"/>
  <c r="U9" i="4" s="1"/>
  <c r="S10" i="4"/>
  <c r="S69" i="4"/>
  <c r="T197" i="4"/>
  <c r="U197" i="4" s="1"/>
  <c r="T134" i="4"/>
  <c r="U134" i="4" s="1"/>
  <c r="T202" i="4"/>
  <c r="U202" i="4" s="1"/>
  <c r="S135" i="4"/>
  <c r="T135" i="4"/>
  <c r="U135" i="4" s="1"/>
  <c r="S184" i="4"/>
  <c r="L10" i="6"/>
  <c r="M7" i="6"/>
  <c r="L7" i="6"/>
  <c r="K7" i="6"/>
  <c r="S15" i="4"/>
  <c r="O3" i="6"/>
  <c r="P3" i="6"/>
  <c r="N3" i="6"/>
  <c r="S4" i="6"/>
  <c r="R4" i="6"/>
  <c r="Q4" i="6"/>
  <c r="S121" i="4"/>
  <c r="I6" i="6" s="1"/>
  <c r="V6" i="6"/>
  <c r="D5" i="6"/>
  <c r="B5" i="6"/>
  <c r="T74" i="4"/>
  <c r="U74" i="4" s="1"/>
  <c r="S146" i="4"/>
  <c r="R5" i="6"/>
  <c r="T34" i="4"/>
  <c r="U34" i="4" s="1"/>
  <c r="S34" i="4"/>
  <c r="S62" i="4"/>
  <c r="S86" i="4"/>
  <c r="M5" i="6" s="1"/>
  <c r="S104" i="4"/>
  <c r="T122" i="4"/>
  <c r="U122" i="4" s="1"/>
  <c r="T141" i="4"/>
  <c r="U141" i="4" s="1"/>
  <c r="S141" i="4"/>
  <c r="S190" i="4"/>
  <c r="AB8" i="6" s="1"/>
  <c r="C5" i="6"/>
  <c r="T16" i="4"/>
  <c r="U16" i="4" s="1"/>
  <c r="S16" i="4"/>
  <c r="S26" i="4"/>
  <c r="T3" i="6"/>
  <c r="S44" i="4"/>
  <c r="U3" i="6" s="1"/>
  <c r="S87" i="4"/>
  <c r="T87" i="4"/>
  <c r="U87" i="4" s="1"/>
  <c r="S209" i="4"/>
  <c r="B10" i="6" s="1"/>
  <c r="O9" i="6"/>
  <c r="T172" i="4"/>
  <c r="U172" i="4" s="1"/>
  <c r="S154" i="4"/>
  <c r="AA7" i="6" s="1"/>
  <c r="T154" i="4"/>
  <c r="U154" i="4" s="1"/>
  <c r="S221" i="4"/>
  <c r="M10" i="6" s="1"/>
  <c r="AB9" i="6"/>
  <c r="AA9" i="6"/>
  <c r="Z9" i="6"/>
  <c r="E2" i="6"/>
  <c r="X8" i="6"/>
  <c r="Y8" i="6"/>
  <c r="W8" i="6"/>
  <c r="P9" i="6"/>
  <c r="S64" i="4"/>
  <c r="T99" i="4"/>
  <c r="U99" i="4" s="1"/>
  <c r="S105" i="4"/>
  <c r="T117" i="4"/>
  <c r="U117" i="4" s="1"/>
  <c r="T142" i="4"/>
  <c r="U142" i="4" s="1"/>
  <c r="T167" i="4"/>
  <c r="U167" i="4" s="1"/>
  <c r="T192" i="4"/>
  <c r="U192" i="4" s="1"/>
  <c r="T217" i="4"/>
  <c r="U217" i="4" s="1"/>
  <c r="M4" i="6"/>
  <c r="S160" i="4"/>
  <c r="S40" i="4"/>
  <c r="S52" i="4"/>
  <c r="S81" i="4"/>
  <c r="G9" i="6"/>
  <c r="E9" i="6"/>
  <c r="X9" i="6"/>
  <c r="Y9" i="6"/>
  <c r="W9" i="6"/>
  <c r="T204" i="4"/>
  <c r="U204" i="4" s="1"/>
  <c r="T210" i="4"/>
  <c r="U210" i="4" s="1"/>
  <c r="S5" i="4"/>
  <c r="S46" i="4"/>
  <c r="S29" i="4"/>
  <c r="S5" i="6"/>
  <c r="Q5" i="6"/>
  <c r="S179" i="4"/>
  <c r="T8" i="6" s="1"/>
  <c r="S216" i="4"/>
  <c r="K4" i="6"/>
  <c r="S17" i="4"/>
  <c r="U2" i="6" s="1"/>
  <c r="S11" i="4"/>
  <c r="S76" i="4"/>
  <c r="H5" i="6" s="1"/>
  <c r="S136" i="4"/>
  <c r="AB6" i="6" s="1"/>
  <c r="S161" i="4"/>
  <c r="U7" i="6" s="1"/>
  <c r="S186" i="4"/>
  <c r="P8" i="6" s="1"/>
  <c r="S211" i="4"/>
  <c r="H10" i="6" s="1"/>
  <c r="C7" i="6"/>
  <c r="T7" i="6"/>
  <c r="J9" i="6"/>
  <c r="I9" i="6"/>
  <c r="H9" i="6"/>
  <c r="S6" i="4"/>
  <c r="S106" i="4"/>
  <c r="T137" i="4"/>
  <c r="U137" i="4" s="1"/>
  <c r="T162" i="4"/>
  <c r="U162" i="4" s="1"/>
  <c r="T187" i="4"/>
  <c r="U187" i="4" s="1"/>
  <c r="T212" i="4"/>
  <c r="U212" i="4" s="1"/>
  <c r="V5" i="6"/>
  <c r="S19" i="4"/>
  <c r="S60" i="4"/>
  <c r="S72" i="4"/>
  <c r="G7" i="6"/>
  <c r="F7" i="6"/>
  <c r="Y10" i="6"/>
  <c r="X10" i="6"/>
  <c r="W10" i="6"/>
  <c r="T5" i="6"/>
  <c r="U5" i="6"/>
  <c r="T6" i="6"/>
  <c r="R7" i="6"/>
  <c r="S7" i="4"/>
  <c r="S36" i="4"/>
  <c r="S54" i="4"/>
  <c r="S37" i="4"/>
  <c r="S66" i="4"/>
  <c r="S84" i="4"/>
  <c r="T132" i="4"/>
  <c r="U132" i="4" s="1"/>
  <c r="T157" i="4"/>
  <c r="U157" i="4" s="1"/>
  <c r="T182" i="4"/>
  <c r="U182" i="4" s="1"/>
  <c r="T207" i="4"/>
  <c r="U207" i="4" s="1"/>
  <c r="S90" i="4"/>
  <c r="S102" i="4"/>
  <c r="U6" i="6"/>
  <c r="S166" i="4"/>
  <c r="W7" i="6"/>
  <c r="S8" i="6"/>
  <c r="R8" i="6"/>
  <c r="L9" i="6"/>
  <c r="K9" i="6"/>
  <c r="D10" i="6"/>
  <c r="C10" i="6"/>
  <c r="V10" i="6"/>
  <c r="U10" i="6"/>
  <c r="T10" i="6"/>
  <c r="S101" i="4"/>
  <c r="S25" i="4"/>
  <c r="S2" i="4"/>
  <c r="S31" i="4"/>
  <c r="S49" i="4"/>
  <c r="V7" i="6"/>
  <c r="T2" i="6"/>
  <c r="S96" i="4"/>
  <c r="S126" i="4"/>
  <c r="S151" i="4"/>
  <c r="S7" i="6" s="1"/>
  <c r="S176" i="4"/>
  <c r="L8" i="6" s="1"/>
  <c r="S201" i="4"/>
  <c r="S226" i="4"/>
  <c r="AA10" i="6" s="1"/>
  <c r="X7" i="6"/>
  <c r="Y7" i="6"/>
  <c r="N8" i="6" l="1"/>
  <c r="V3" i="6"/>
  <c r="AB7" i="6"/>
  <c r="Z8" i="6"/>
  <c r="I5" i="6"/>
  <c r="AA8" i="6"/>
  <c r="Y2" i="6"/>
  <c r="K8" i="6"/>
  <c r="M8" i="6"/>
  <c r="AC9" i="6"/>
  <c r="N10" i="6"/>
  <c r="O10" i="6"/>
  <c r="J4" i="6"/>
  <c r="I4" i="6"/>
  <c r="H4" i="6"/>
  <c r="G2" i="6"/>
  <c r="K10" i="6"/>
  <c r="K5" i="6"/>
  <c r="Z7" i="6"/>
  <c r="X5" i="6"/>
  <c r="Y5" i="6"/>
  <c r="W5" i="6"/>
  <c r="Z10" i="6"/>
  <c r="Y3" i="6"/>
  <c r="X3" i="6"/>
  <c r="W3" i="6"/>
  <c r="S6" i="6"/>
  <c r="R6" i="6"/>
  <c r="Q6" i="6"/>
  <c r="T4" i="6"/>
  <c r="V4" i="6"/>
  <c r="U4" i="6"/>
  <c r="V8" i="6"/>
  <c r="L3" i="6"/>
  <c r="C3" i="6"/>
  <c r="D3" i="6"/>
  <c r="B3" i="6"/>
  <c r="F10" i="6"/>
  <c r="G10" i="6"/>
  <c r="E10" i="6"/>
  <c r="D7" i="6"/>
  <c r="B7" i="6"/>
  <c r="AC8" i="6"/>
  <c r="G4" i="6"/>
  <c r="E4" i="6"/>
  <c r="F4" i="6"/>
  <c r="D4" i="6"/>
  <c r="C4" i="6"/>
  <c r="B4" i="6"/>
  <c r="Q7" i="6"/>
  <c r="O8" i="6"/>
  <c r="L2" i="6"/>
  <c r="K2" i="6"/>
  <c r="M2" i="6"/>
  <c r="L5" i="6"/>
  <c r="D9" i="6"/>
  <c r="C9" i="6"/>
  <c r="B9" i="6"/>
  <c r="S2" i="6"/>
  <c r="R2" i="6"/>
  <c r="Q2" i="6"/>
  <c r="P2" i="6"/>
  <c r="O2" i="6"/>
  <c r="N2" i="6"/>
  <c r="P6" i="6"/>
  <c r="N6" i="6"/>
  <c r="O6" i="6"/>
  <c r="J5" i="6"/>
  <c r="W6" i="6"/>
  <c r="Y6" i="6"/>
  <c r="Y11" i="6" s="1"/>
  <c r="X6" i="6"/>
  <c r="X11" i="6" s="1"/>
  <c r="AC7" i="6"/>
  <c r="P5" i="6"/>
  <c r="O5" i="6"/>
  <c r="N5" i="6"/>
  <c r="H8" i="6"/>
  <c r="J8" i="6"/>
  <c r="I8" i="6"/>
  <c r="AB5" i="6"/>
  <c r="AA5" i="6"/>
  <c r="T11" i="6"/>
  <c r="E6" i="6"/>
  <c r="F6" i="6"/>
  <c r="G6" i="6"/>
  <c r="I10" i="6"/>
  <c r="J6" i="6"/>
  <c r="I3" i="6"/>
  <c r="J3" i="6"/>
  <c r="H3" i="6"/>
  <c r="P4" i="6"/>
  <c r="O4" i="6"/>
  <c r="N4" i="6"/>
  <c r="J10" i="6"/>
  <c r="H6" i="6"/>
  <c r="P7" i="6"/>
  <c r="O7" i="6"/>
  <c r="N7" i="6"/>
  <c r="AB10" i="6"/>
  <c r="AC10" i="6" s="1"/>
  <c r="W11" i="6"/>
  <c r="AA4" i="6"/>
  <c r="Z4" i="6"/>
  <c r="AB4" i="6"/>
  <c r="AA6" i="6"/>
  <c r="AC6" i="6" s="1"/>
  <c r="R3" i="6"/>
  <c r="S3" i="6"/>
  <c r="Q3" i="6"/>
  <c r="C2" i="6"/>
  <c r="C11" i="6" s="1"/>
  <c r="D2" i="6"/>
  <c r="B2" i="6"/>
  <c r="D6" i="6"/>
  <c r="C6" i="6"/>
  <c r="B6" i="6"/>
  <c r="V2" i="6"/>
  <c r="V11" i="6" s="1"/>
  <c r="Z3" i="6"/>
  <c r="AA3" i="6"/>
  <c r="AB3" i="6"/>
  <c r="K6" i="6"/>
  <c r="M6" i="6"/>
  <c r="L6" i="6"/>
  <c r="U8" i="6"/>
  <c r="U11" i="6" s="1"/>
  <c r="H2" i="6"/>
  <c r="H11" i="6" s="1"/>
  <c r="I2" i="6"/>
  <c r="I11" i="6" s="1"/>
  <c r="J2" i="6"/>
  <c r="J11" i="6" s="1"/>
  <c r="Z6" i="6"/>
  <c r="AB2" i="6"/>
  <c r="AB11" i="6" s="1"/>
  <c r="Z2" i="6"/>
  <c r="Z11" i="6" s="1"/>
  <c r="AA2" i="6"/>
  <c r="G5" i="6"/>
  <c r="F5" i="6"/>
  <c r="E5" i="6"/>
  <c r="E11" i="6" s="1"/>
  <c r="AC5" i="6" l="1"/>
  <c r="F11" i="6"/>
  <c r="G11" i="6"/>
  <c r="M11" i="6"/>
  <c r="B11" i="6"/>
  <c r="K11" i="6"/>
  <c r="D11" i="6"/>
  <c r="L11" i="6"/>
  <c r="AA11" i="6"/>
  <c r="AC2" i="6"/>
  <c r="AC4" i="6"/>
  <c r="N11" i="6"/>
  <c r="O11" i="6"/>
  <c r="P11" i="6"/>
  <c r="Q11" i="6"/>
  <c r="R11" i="6"/>
  <c r="S11" i="6"/>
  <c r="AC3" i="6"/>
</calcChain>
</file>

<file path=xl/sharedStrings.xml><?xml version="1.0" encoding="utf-8"?>
<sst xmlns="http://schemas.openxmlformats.org/spreadsheetml/2006/main" count="4998" uniqueCount="719">
  <si>
    <t>Registro y cálculo de métricas de calidad ISO/IEC 25010</t>
  </si>
  <si>
    <t>Producto evaluado: VigiSalud Malaria (https://vigisalud-malaria.vercel.app)</t>
  </si>
  <si>
    <t>Curso: Calidad de Software – Trabajo Parcial 6 – UNSA, 2026-B</t>
  </si>
  <si>
    <t>Equipo: Cari Quispe, Juan Manuel; Chura Monroy, Daniel Wilston; Lopez Arela, Ower Frank; Phocco Tapia, Alejandro Josue; Zegarra Puma, Mauricio Eduardo</t>
  </si>
  <si>
    <t>Cómo usar el libro</t>
  </si>
  <si>
    <t>1. 'Modelo': características y subcaracterísticas adoptadas, prioridad y justificación (Punto 1).</t>
  </si>
  <si>
    <t>2. 'Métricas': fichas GQM con objetivo, pregunta, fórmula, umbral y responsable (Punto 2).</t>
  </si>
  <si>
    <t>3. 'Registro': una fila por métrica y corrida con los campos del formato de recopilación (Punto 3).</t>
  </si>
  <si>
    <t xml:space="preserve">   Ingrese A y B (o el valor medido). Resultado, estado, puntaje y categoría se calculan con fórmulas.</t>
  </si>
  <si>
    <t>4. 'Incidentes': fallos clasificados por origen (producto, script de prueba, infraestructura).</t>
  </si>
  <si>
    <t>5. 'Resumen': conteos por característica y corrida, calculados con fórmulas (insumo del tablero, Punto 4).</t>
  </si>
  <si>
    <t>6. 'Requisitos': matriz de trazabilidad requisito → métrica → prueba.</t>
  </si>
  <si>
    <t>Escala de puntaje (Calabrese et al., CACIC 2017):</t>
  </si>
  <si>
    <t>0–40 No aceptable · 40–60 Mínimamente aceptable · 60–90 Rango objetivo · 90–100 Supera los requisitos.</t>
  </si>
  <si>
    <t>Métricas de valor (menor es mejor): puntaje = MIN(100; 100 × umbral / valor).</t>
  </si>
  <si>
    <t>Los umbrales se fijaron el 27/10/2026, antes de la corrida 01.</t>
  </si>
  <si>
    <t>Código</t>
  </si>
  <si>
    <t>Característica</t>
  </si>
  <si>
    <t>Prioridad</t>
  </si>
  <si>
    <t>Justificación</t>
  </si>
  <si>
    <t>Subcaracterística</t>
  </si>
  <si>
    <t>Estado</t>
  </si>
  <si>
    <t>Métricas / motivo</t>
  </si>
  <si>
    <t>IF</t>
  </si>
  <si>
    <t>Idoneidad funcional</t>
  </si>
  <si>
    <t>Alta</t>
  </si>
  <si>
    <t>Un sistema de vigilancia que muestra cifras incorrectas lleva a decisiones sanitarias erróneas; la corrección de los conteos es el requisito central.</t>
  </si>
  <si>
    <t>Completitud funcional</t>
  </si>
  <si>
    <t>seleccionada</t>
  </si>
  <si>
    <t>IF-01</t>
  </si>
  <si>
    <t>Corrección funcional</t>
  </si>
  <si>
    <t>IF-02</t>
  </si>
  <si>
    <t>Pertinencia funcional</t>
  </si>
  <si>
    <t>IF-03</t>
  </si>
  <si>
    <t>ED</t>
  </si>
  <si>
    <t>Eficiencia de desempeño</t>
  </si>
  <si>
    <t>Media</t>
  </si>
  <si>
    <t>El personal de epidemiología de establecimientos amazónicos trabaja con conexiones móviles lentas; la carga y la respuesta a filtros deben ser rápidas.</t>
  </si>
  <si>
    <t>Comportamiento temporal</t>
  </si>
  <si>
    <t>ED-01, ED-02</t>
  </si>
  <si>
    <t>Utilización de recursos</t>
  </si>
  <si>
    <t>ED-03</t>
  </si>
  <si>
    <t>Capacidad</t>
  </si>
  <si>
    <t>no aplicable</t>
  </si>
  <si>
    <t>Sitio estático servido por la red de distribución de Vercel; no hay servidor propio ni usuarios concurrentes que limitar.</t>
  </si>
  <si>
    <t>CO</t>
  </si>
  <si>
    <t>Compatibilidad</t>
  </si>
  <si>
    <t>Baja</t>
  </si>
  <si>
    <t>Los analistas reutilizan los datos en Excel u otros sistemas; basta con que las exportaciones sean interoperables.</t>
  </si>
  <si>
    <t>Interoperabilidad</t>
  </si>
  <si>
    <t>CO-01</t>
  </si>
  <si>
    <t>Coexistencia</t>
  </si>
  <si>
    <t>Se ejecuta en el navegador sin compartir recursos con otros productos instalados.</t>
  </si>
  <si>
    <t>CI</t>
  </si>
  <si>
    <t>Capacidad de interacción</t>
  </si>
  <si>
    <t>Lo usan personas con distinta formación y posibles discapacidades; los errores de uso no deben producir conclusiones falsas.</t>
  </si>
  <si>
    <t>Operabilidad</t>
  </si>
  <si>
    <t>CI-01</t>
  </si>
  <si>
    <t>Protección contra errores de usuario</t>
  </si>
  <si>
    <t>CI-02</t>
  </si>
  <si>
    <t>Inclusividad</t>
  </si>
  <si>
    <t>CI-03</t>
  </si>
  <si>
    <t>Autodescriptividad</t>
  </si>
  <si>
    <t>CI-04</t>
  </si>
  <si>
    <t>Reconocibilidad de la adecuación</t>
  </si>
  <si>
    <t>no evaluada</t>
  </si>
  <si>
    <t>Requiere pruebas con usuarios reales del CDC; queda para una iteración con usuarios.</t>
  </si>
  <si>
    <t>Aprendizabilidad</t>
  </si>
  <si>
    <t>Requiere pruebas con usuarios; fuera del alcance de esta evaluación automatizada.</t>
  </si>
  <si>
    <t>FI</t>
  </si>
  <si>
    <t>Fiabilidad</t>
  </si>
  <si>
    <t>Durante un brote el tablero debe estar disponible y, si algo falla, no debe mostrar información parcial.</t>
  </si>
  <si>
    <t>Ausencia de fallos</t>
  </si>
  <si>
    <t>FI-01</t>
  </si>
  <si>
    <t>Disponibilidad</t>
  </si>
  <si>
    <t>FI-02</t>
  </si>
  <si>
    <t>Tolerancia a fallos</t>
  </si>
  <si>
    <t>FI-03</t>
  </si>
  <si>
    <t>Recuperabilidad</t>
  </si>
  <si>
    <t>FI-04</t>
  </si>
  <si>
    <t>SE</t>
  </si>
  <si>
    <t>Seguridad</t>
  </si>
  <si>
    <t>Los datos de origen son nominales (edad, sexo, localidad); solo deben publicarse agregados íntegros y el sitio debe resistir ataques web comunes.</t>
  </si>
  <si>
    <t>Confidencialidad</t>
  </si>
  <si>
    <t>SE-01</t>
  </si>
  <si>
    <t>Integridad</t>
  </si>
  <si>
    <t>SE-02</t>
  </si>
  <si>
    <t>Resistencia</t>
  </si>
  <si>
    <t>SE-03</t>
  </si>
  <si>
    <t>No repudio</t>
  </si>
  <si>
    <t>Sistema de solo lectura: no hay transacciones ni acciones de usuarios que atribuir.</t>
  </si>
  <si>
    <t>Responsabilidad</t>
  </si>
  <si>
    <t>No hay cuentas de usuario ni operaciones que registrar.</t>
  </si>
  <si>
    <t>Autenticidad</t>
  </si>
  <si>
    <t>Información pública sin inicio de sesión.</t>
  </si>
  <si>
    <t>MA</t>
  </si>
  <si>
    <t>Mantenibilidad</t>
  </si>
  <si>
    <t>El dataset se actualiza cada semana; el equipo debe poder modificar y volver a probar el sistema con facilidad.</t>
  </si>
  <si>
    <t>Analizabilidad</t>
  </si>
  <si>
    <t>MA-01</t>
  </si>
  <si>
    <t>Modificabilidad</t>
  </si>
  <si>
    <t>MA-02</t>
  </si>
  <si>
    <t>Capacidad de prueba</t>
  </si>
  <si>
    <t>MA-03</t>
  </si>
  <si>
    <t>Modularidad</t>
  </si>
  <si>
    <t>Se observa indirectamente en MA-01 y MA-02; no tiene métrica propia.</t>
  </si>
  <si>
    <t>Reusabilidad</t>
  </si>
  <si>
    <t>No es un objetivo del proyecto en esta etapa.</t>
  </si>
  <si>
    <t>FL</t>
  </si>
  <si>
    <t>Flexibilidad</t>
  </si>
  <si>
    <t>Se consulta desde computadoras de escritorio, tablets y celulares con navegadores distintos.</t>
  </si>
  <si>
    <t>Adaptabilidad</t>
  </si>
  <si>
    <t>FL-01</t>
  </si>
  <si>
    <t>Escalabilidad</t>
  </si>
  <si>
    <t>El volumen de datos publicados es fijo por versión y el hosting escala automáticamente.</t>
  </si>
  <si>
    <t>Instalabilidad</t>
  </si>
  <si>
    <t>Aplicación web: no se instala.</t>
  </si>
  <si>
    <t>Reemplazabilidad</t>
  </si>
  <si>
    <t>No reemplaza a otro producto en esta etapa.</t>
  </si>
  <si>
    <t>SO</t>
  </si>
  <si>
    <t>Seguridad operacional</t>
  </si>
  <si>
    <t>En salud pública, una cifra mal interpretada puede retrasar una respuesta a un brote; el sistema debe advertir sus límites y fallar de forma segura.</t>
  </si>
  <si>
    <t>Advertencia de peligro</t>
  </si>
  <si>
    <t>SO-01</t>
  </si>
  <si>
    <t>A prueba de fallos</t>
  </si>
  <si>
    <t>SO-02</t>
  </si>
  <si>
    <t>Identificación de riesgos</t>
  </si>
  <si>
    <t>SO-03</t>
  </si>
  <si>
    <t>Restricción operacional</t>
  </si>
  <si>
    <t>El sistema no controla equipos ni procesos físicos.</t>
  </si>
  <si>
    <t>Integración segura</t>
  </si>
  <si>
    <t>No se integra con otros sistemas en esta versión.</t>
  </si>
  <si>
    <t>ID</t>
  </si>
  <si>
    <t>Métrica</t>
  </si>
  <si>
    <t>Objetivo (G)</t>
  </si>
  <si>
    <t>Pregunta (Q)</t>
  </si>
  <si>
    <t>A</t>
  </si>
  <si>
    <t>B</t>
  </si>
  <si>
    <t>Fórmula (M)</t>
  </si>
  <si>
    <t>Unidad</t>
  </si>
  <si>
    <t>Sentido</t>
  </si>
  <si>
    <t>Umbral</t>
  </si>
  <si>
    <t>Requisito</t>
  </si>
  <si>
    <t>Procedimiento</t>
  </si>
  <si>
    <t>Herramienta</t>
  </si>
  <si>
    <t>Responsable</t>
  </si>
  <si>
    <t>Cobertura de requisitos funcionales</t>
  </si>
  <si>
    <t>Asegurar que el dashboard ofrece todas las funciones especificadas.</t>
  </si>
  <si>
    <t>¿Qué proporción de los requisitos funcionales especificados pasa su prueba de aceptación?</t>
  </si>
  <si>
    <t>Requisitos funcionales con prueba E2E aprobada</t>
  </si>
  <si>
    <t>Requisitos funcionales especificados (RF-01 a RF-15)</t>
  </si>
  <si>
    <t>X = A/B × 100</t>
  </si>
  <si>
    <t>%</t>
  </si>
  <si>
    <t>mayor</t>
  </si>
  <si>
    <t>RF-01…RF-15</t>
  </si>
  <si>
    <t>evaluacion/pruebas/funcional.spec.js (un caso por RF)</t>
  </si>
  <si>
    <t>Playwright 1.64 (Chromium)</t>
  </si>
  <si>
    <t>Chura Monroy, Daniel Wilston</t>
  </si>
  <si>
    <t>Exactitud frente al oráculo oficial</t>
  </si>
  <si>
    <t>Verificar que cada cifra mostrada coincide con la calculada directamente de los CSV del MINSA.</t>
  </si>
  <si>
    <t>¿Qué proporción de los valores verificados coincide con el oráculo independiente?</t>
  </si>
  <si>
    <t>Valores mostrados iguales al oráculo</t>
  </si>
  <si>
    <t>Valores verificados (8 escenarios × campos)</t>
  </si>
  <si>
    <t>RNF-01 exactitud</t>
  </si>
  <si>
    <t>evaluacion/oraculo.py + evaluacion/pruebas/oraculo.spec.js</t>
  </si>
  <si>
    <t>Python 3.12 + Playwright</t>
  </si>
  <si>
    <t>Cobertura de las dimensiones de vigilancia</t>
  </si>
  <si>
    <t>Comprobar que el producto responde a las preguntas de la vigilancia: tiempo, lugar y persona.</t>
  </si>
  <si>
    <t>¿Qué proporción de las dimensiones de análisis epidemiológico ofrece el dashboard?</t>
  </si>
  <si>
    <t>Dimensiones presentes y funcionales</t>
  </si>
  <si>
    <t>Dimensiones requeridas (tendencia, semana epidemiológica, canal endémico, departamento, distrito, edad, sexo, especie)</t>
  </si>
  <si>
    <t>RNF-02 pertinencia</t>
  </si>
  <si>
    <t>Lista de verificación automatizada en interaccion.spec.js</t>
  </si>
  <si>
    <t>Playwright</t>
  </si>
  <si>
    <t>ED-01</t>
  </si>
  <si>
    <t>Largest Contentful Paint (móvil)</t>
  </si>
  <si>
    <t>Que el contenido principal aparezca rápido incluso con red móvil.</t>
  </si>
  <si>
    <t>¿Cuánto tarda en mostrarse el contenido principal en un móvil con red 4G lenta simulada?</t>
  </si>
  <si>
    <t>LCP mediano de 3 ejecuciones de Lighthouse (perfil móvil)</t>
  </si>
  <si>
    <t>—</t>
  </si>
  <si>
    <t>X = valor medido</t>
  </si>
  <si>
    <t>s</t>
  </si>
  <si>
    <t>menor</t>
  </si>
  <si>
    <t>RNF-03 carga</t>
  </si>
  <si>
    <t>evaluacion/scripts/lighthouse.mjs</t>
  </si>
  <si>
    <t>Lighthouse 12.8</t>
  </si>
  <si>
    <t>ED-02</t>
  </si>
  <si>
    <t>Tiempo de respuesta a filtros</t>
  </si>
  <si>
    <t>Que el análisis interactivo sea fluido.</t>
  </si>
  <si>
    <t>¿Cuánto tarda el dashboard en volver a dibujarse tras cambiar un filtro?</t>
  </si>
  <si>
    <t>Mediana de 20 cambios de filtro (ms, hasta el siguiente cuadro pintado)</t>
  </si>
  <si>
    <t>ms</t>
  </si>
  <si>
    <t>RNF-03 respuesta</t>
  </si>
  <si>
    <t>evaluacion/pruebas/rendimiento.spec.js</t>
  </si>
  <si>
    <t>Playwright + Performance API</t>
  </si>
  <si>
    <t>Peso transferido en la carga inicial</t>
  </si>
  <si>
    <t>Limitar el consumo de datos móviles.</t>
  </si>
  <si>
    <t>¿Cuántos KB descarga el navegador para mostrar el dashboard?</t>
  </si>
  <si>
    <t>total-byte-weight de Lighthouse (KB, mediana)</t>
  </si>
  <si>
    <t>KB</t>
  </si>
  <si>
    <t>RNF-04 consumo</t>
  </si>
  <si>
    <t>Exportaciones válidas y consistentes</t>
  </si>
  <si>
    <t>Permitir reutilizar los datos filtrados en otras herramientas.</t>
  </si>
  <si>
    <t>¿Qué proporción de las exportaciones se puede leer con un parser estándar y suma los mismos casos que la interfaz?</t>
  </si>
  <si>
    <t>Exportaciones probadas (CSV y JSON en 2 escenarios)</t>
  </si>
  <si>
    <t>RF-11</t>
  </si>
  <si>
    <t>evaluacion/pruebas/funcional.spec.js (RF-11)</t>
  </si>
  <si>
    <t>Controles operables con teclado</t>
  </si>
  <si>
    <t>Que todas las funciones se puedan usar sin ratón.</t>
  </si>
  <si>
    <t>¿Qué proporción de los controles interactivos se alcanza y opera solo con teclado?</t>
  </si>
  <si>
    <t>Controles alcanzados con Tab y operados con Enter/Espacio/flechas</t>
  </si>
  <si>
    <t>Controles interactivos de la página</t>
  </si>
  <si>
    <t>RNF-05 accesibilidad</t>
  </si>
  <si>
    <t>evaluacion/pruebas/interaccion.spec.js</t>
  </si>
  <si>
    <t>Lopez Arela, Ower Frank</t>
  </si>
  <si>
    <t>Entradas inválidas controladas</t>
  </si>
  <si>
    <t>Que un enlace o filtro mal escrito no rompa el sistema ni muestre datos engañosos.</t>
  </si>
  <si>
    <t>¿Qué proporción de entradas inválidas se rechaza con aviso y valores por defecto?</t>
  </si>
  <si>
    <t>Casos inválidos controlados con aviso</t>
  </si>
  <si>
    <t>Casos inválidos probados</t>
  </si>
  <si>
    <t>RNF-06</t>
  </si>
  <si>
    <t>Violaciones WCAG graves</t>
  </si>
  <si>
    <t>Que personas con discapacidad puedan usar el sistema (WCAG 2.2 AA).</t>
  </si>
  <si>
    <t>¿Cuántas violaciones críticas o serias detecta axe-core en las vistas evaluadas?</t>
  </si>
  <si>
    <t>Vistas sin violaciones críticas ni serias</t>
  </si>
  <si>
    <t>Vistas evaluadas (dashboard ES, EN, filtrado y tablero de calidad)</t>
  </si>
  <si>
    <t>evaluacion/pruebas/accesibilidad.spec.js</t>
  </si>
  <si>
    <t>axe-core 4 + Playwright</t>
  </si>
  <si>
    <t>Gráficos con alternativa textual</t>
  </si>
  <si>
    <t>Que cada gráfico se explique por sí mismo y tenga un equivalente en texto o tabla.</t>
  </si>
  <si>
    <t>¿Qué proporción de los gráficos tiene descripción accesible y datos consultables?</t>
  </si>
  <si>
    <t>Gráficos con etiqueta accesible y tabla o lista equivalente</t>
  </si>
  <si>
    <t>Gráficos del dashboard</t>
  </si>
  <si>
    <t>RNF-05</t>
  </si>
  <si>
    <t>Ejecuciones sin errores de JavaScript</t>
  </si>
  <si>
    <t>Que el uso normal no produzca errores.</t>
  </si>
  <si>
    <t>¿Qué proporción de las combinaciones navegador × pantalla recorre todo el dashboard sin errores de consola?</t>
  </si>
  <si>
    <t>Combinaciones sin errores</t>
  </si>
  <si>
    <t>Combinaciones probadas (3 navegadores × 3 pantallas)</t>
  </si>
  <si>
    <t>RNF-07</t>
  </si>
  <si>
    <t>evaluacion/pruebas/adaptabilidad.spec.js</t>
  </si>
  <si>
    <t>Playwright (Chromium, Firefox, WebKit)</t>
  </si>
  <si>
    <t>Disponibilidad medida</t>
  </si>
  <si>
    <t>Que el tablero responda siempre que se consulte.</t>
  </si>
  <si>
    <t>¿Qué proporción de los sondeos HTTP al sitio y a sus datos responde 200?</t>
  </si>
  <si>
    <t>Sondeos con respuesta 200</t>
  </si>
  <si>
    <t>Sondeos realizados</t>
  </si>
  <si>
    <t>RNF-08</t>
  </si>
  <si>
    <t>evaluacion/scripts/disponibilidad.mjs</t>
  </si>
  <si>
    <t>Node.js fetch</t>
  </si>
  <si>
    <t>Fallos de datos controlados</t>
  </si>
  <si>
    <t>Que una falla de red o de datos no deje la aplicación rota.</t>
  </si>
  <si>
    <t>¿Qué proporción de los fallos inyectados termina en un mensaje controlado?</t>
  </si>
  <si>
    <t>Escenarios con mensaje de error controlado</t>
  </si>
  <si>
    <t>Escenarios de fallo inyectados (404, red caída, JSON corrupto, mapa 500)</t>
  </si>
  <si>
    <t>evaluacion/pruebas/fiabilidad.spec.js</t>
  </si>
  <si>
    <t>Playwright (page.route)</t>
  </si>
  <si>
    <t>Recuperación tras el fallo</t>
  </si>
  <si>
    <t>Que el usuario recupere el servicio sin recargar ni perder el contexto.</t>
  </si>
  <si>
    <t>¿Qué proporción de los escenarios de fallo se recupera con el botón Reintentar?</t>
  </si>
  <si>
    <t>Escenarios recuperados</t>
  </si>
  <si>
    <t>Escenarios de fallo inyectados</t>
  </si>
  <si>
    <t>Ausencia de microdatos publicados</t>
  </si>
  <si>
    <t>Que no se publique ningún registro individual de la fuente nominal.</t>
  </si>
  <si>
    <t>¿Qué proporción de los archivos publicados contiene solo agregados permitidos?</t>
  </si>
  <si>
    <t>Archivos publicados sin campos de nivel individual</t>
  </si>
  <si>
    <t>Archivos de datos publicados</t>
  </si>
  <si>
    <t>RNF-09 privacidad (Ley 29733)</t>
  </si>
  <si>
    <t>evaluacion/scripts/seguridad.mjs</t>
  </si>
  <si>
    <t>Node.js</t>
  </si>
  <si>
    <t>Integridad de los datos de origen</t>
  </si>
  <si>
    <t>Garantizar que los datos procesados son los oficiales sin alteración.</t>
  </si>
  <si>
    <t>¿Qué proporción de los controles de integridad (hash SHA-256 de cada CSV, HTTPS obligatorio) se cumple?</t>
  </si>
  <si>
    <t>Controles cumplidos</t>
  </si>
  <si>
    <t>Controles definidos</t>
  </si>
  <si>
    <t>RNF-10</t>
  </si>
  <si>
    <t>Node.js crypto</t>
  </si>
  <si>
    <t>Cabeceras de seguridad OWASP</t>
  </si>
  <si>
    <t>Endurecer el sitio frente a XSS, clickjacking y fuga de información.</t>
  </si>
  <si>
    <t>¿Qué proporción de las cabeceras recomendadas por OWASP está presente y bien configurada?</t>
  </si>
  <si>
    <t>Cabeceras presentes y válidas</t>
  </si>
  <si>
    <t>Cabeceras recomendadas (CSP, HSTS, X-Content-Type-Options, X-Frame-Options, Referrer-Policy, Permissions-Policy, COOP)</t>
  </si>
  <si>
    <t>RNF-11</t>
  </si>
  <si>
    <t>Funciones con complejidad aceptable</t>
  </si>
  <si>
    <t>Que el código sea fácil de entender y diagnosticar.</t>
  </si>
  <si>
    <t>¿Qué proporción de las funciones tiene complejidad ciclomática ≤ 10?</t>
  </si>
  <si>
    <t>Funciones con CC ≤ 10</t>
  </si>
  <si>
    <t>Funciones del producto (JavaScript y Python)</t>
  </si>
  <si>
    <t>RNF-12</t>
  </si>
  <si>
    <t>evaluacion/scripts/mantenibilidad.mjs</t>
  </si>
  <si>
    <t>ESLint 9 (regla complexity) + Radon 6</t>
  </si>
  <si>
    <t>Densidad de problemas de análisis estático</t>
  </si>
  <si>
    <t>Mantener el código libre de defectos detectables antes de modificarlo.</t>
  </si>
  <si>
    <t>¿Cuántos problemas de ESLint (recommended) hay por cada mil líneas?</t>
  </si>
  <si>
    <t>Problemas ESLint / KLOC</t>
  </si>
  <si>
    <t>problemas/KLOC</t>
  </si>
  <si>
    <t>ESLint 9</t>
  </si>
  <si>
    <t>Requisitos con prueba automatizada</t>
  </si>
  <si>
    <t>Que cada requisito se pueda volver a verificar en cada versión.</t>
  </si>
  <si>
    <t>¿Qué proporción de los requisitos (RF y RNF) tiene al menos una prueba automatizada?</t>
  </si>
  <si>
    <t>Requisitos especificados</t>
  </si>
  <si>
    <t>Todos</t>
  </si>
  <si>
    <t>Matriz de trazabilidad (evaluacion/requisitos.json)</t>
  </si>
  <si>
    <t>Script de consolidación</t>
  </si>
  <si>
    <t>Combinaciones navegador × pantalla correctas</t>
  </si>
  <si>
    <t>Que el dashboard funcione en móvil, tablet y escritorio con los motores principales.</t>
  </si>
  <si>
    <t>¿Qué proporción de las combinaciones muestra todos los gráficos sin desbordamiento horizontal?</t>
  </si>
  <si>
    <t>Combinaciones correctas</t>
  </si>
  <si>
    <t>Combinaciones (Chromium, Firefox, WebKit × 375, 768, 1440 px)</t>
  </si>
  <si>
    <t>RNF-13</t>
  </si>
  <si>
    <t>Vistas con aviso de datos provisionales</t>
  </si>
  <si>
    <t>Que nadie confunda casos notificados provisionales con cifras definitivas o tasas.</t>
  </si>
  <si>
    <t>¿Qué proporción de las vistas muestra el aviso de datos provisionales con la fuente y la fecha?</t>
  </si>
  <si>
    <t>Vistas con aviso visible</t>
  </si>
  <si>
    <t>Vistas evaluadas (años, departamentos e idiomas)</t>
  </si>
  <si>
    <t>RNF-14</t>
  </si>
  <si>
    <t>Sin cifras parciales ante fallos</t>
  </si>
  <si>
    <t>Que un fallo de carga no muestre números incompletos que parezcan reales.</t>
  </si>
  <si>
    <t>¿En qué proporción de los fallos inyectados la interfaz oculta todas las cifras?</t>
  </si>
  <si>
    <t>Escenarios sin cifras visibles durante el fallo</t>
  </si>
  <si>
    <t>Limitaciones de la fuente señaladas</t>
  </si>
  <si>
    <t>Que el usuario conozca los límites de los datos antes de interpretarlos.</t>
  </si>
  <si>
    <t>¿Qué proporción de las limitaciones conocidas de la fuente se señala en la interfaz?</t>
  </si>
  <si>
    <t>Limitaciones señaladas</t>
  </si>
  <si>
    <t>Limitaciones conocidas (cambio de fuente 2009, edad no disponible antes de 2009, casos no son tasas, canal endémico sin años suficientes)</t>
  </si>
  <si>
    <t>ID métrica</t>
  </si>
  <si>
    <t>Caso / procedimiento</t>
  </si>
  <si>
    <t>Corrida</t>
  </si>
  <si>
    <t>Versión</t>
  </si>
  <si>
    <t>Fecha</t>
  </si>
  <si>
    <t>Entorno / navegador</t>
  </si>
  <si>
    <t>Datos utilizados</t>
  </si>
  <si>
    <t>Tipo</t>
  </si>
  <si>
    <t>Fórmula</t>
  </si>
  <si>
    <t>Resultado X</t>
  </si>
  <si>
    <t>Puntaje</t>
  </si>
  <si>
    <t>Categoría</t>
  </si>
  <si>
    <t>Evidencia</t>
  </si>
  <si>
    <t>Incidente</t>
  </si>
  <si>
    <t>Decisión</t>
  </si>
  <si>
    <t>Observaciones</t>
  </si>
  <si>
    <t>01</t>
  </si>
  <si>
    <t>v1.0 (e2ec6c9)</t>
  </si>
  <si>
    <t>2026-10-27T05:09:45.825Z</t>
  </si>
  <si>
    <t>Windows_NT 10.0.26300 · Node v22.14.0 · Playwright Version 1.64.1 · Lighthouse 12.8.2</t>
  </si>
  <si>
    <t>datos_abiertos_vigilancia_malaria_2000_2008.csv sha256:749d8897e94255d0; datos_abiertos_vigilancia_malaria_2009_2025.csv sha256:084ef118bd67753d</t>
  </si>
  <si>
    <t>proporcion</t>
  </si>
  <si>
    <t>X = A / B × 100</t>
  </si>
  <si>
    <t>evaluacion/resultados/corrida-01/playwright.json, reporte-html/</t>
  </si>
  <si>
    <t>INC-04</t>
  </si>
  <si>
    <t>El script usa ahora #fEsp button[data-v=…], acotado al grupo de filtros.</t>
  </si>
  <si>
    <t>02</t>
  </si>
  <si>
    <t>v1.1 (a63333f)</t>
  </si>
  <si>
    <t>2026-10-27T05:22:39.464Z</t>
  </si>
  <si>
    <t>evaluacion/resultados/corrida-02/playwright.json, reporte-html/</t>
  </si>
  <si>
    <t>Aceptar</t>
  </si>
  <si>
    <t>03</t>
  </si>
  <si>
    <t>v1.2 (ecfaca3)</t>
  </si>
  <si>
    <t>2026-10-27T11:13:27.260Z</t>
  </si>
  <si>
    <t>evaluacion/resultados/corrida-03/playwright.json, reporte-html/</t>
  </si>
  <si>
    <t>04</t>
  </si>
  <si>
    <t>v1.3 (1219f7a)</t>
  </si>
  <si>
    <t>2026-10-27T11:22:57.351Z</t>
  </si>
  <si>
    <t>evaluacion/resultados/corrida-04/playwright.json, reporte-html/</t>
  </si>
  <si>
    <t>05</t>
  </si>
  <si>
    <t>v1.4 (ecd9c46)</t>
  </si>
  <si>
    <t>2026-10-27T11:34:29.914Z</t>
  </si>
  <si>
    <t>evaluacion/resultados/corrida-05/playwright.json, reporte-html/</t>
  </si>
  <si>
    <t>06</t>
  </si>
  <si>
    <t>v1.5 (2aca5a2)</t>
  </si>
  <si>
    <t>2026-10-27T11:44:29.601Z</t>
  </si>
  <si>
    <t>evaluacion/resultados/corrida-06/playwright.json, reporte-html/</t>
  </si>
  <si>
    <t>07</t>
  </si>
  <si>
    <t>v1.6 (f47b30f)</t>
  </si>
  <si>
    <t>2026-10-27T11:55:54.129Z</t>
  </si>
  <si>
    <t>evaluacion/resultados/corrida-07/playwright.json, reporte-html/</t>
  </si>
  <si>
    <t>INC-21</t>
  </si>
  <si>
    <t>Se agregaron las versiones en inglés en modelo.json y requisitos.json y un diccionario de motivos en i18n.js, y el tablero y el dashboard las usan. El barrido ya no encuentra textos de interfaz en español; quedan solo nombres propios, como el título oficial del conjunto de datos y los topónimos. Se recomienda incorporar ese barrido a la prueba de RF-13. Se verifica en la corrida 08.</t>
  </si>
  <si>
    <t>08</t>
  </si>
  <si>
    <t>v1.7 (b0ac637)</t>
  </si>
  <si>
    <t>2026-10-27T12:06:18.210Z</t>
  </si>
  <si>
    <t>evaluacion/resultados/corrida-08/playwright.json, reporte-html/</t>
  </si>
  <si>
    <t>INC-22</t>
  </si>
  <si>
    <t>El tablero traduce la prioridad (High, Medium, Low). Se amplió el barrido con todos los valores enumerados del modelo (prioridad, estado, origen), y ya no encuentra restos. Se verifica en la corrida 09.</t>
  </si>
  <si>
    <t>09</t>
  </si>
  <si>
    <t>v1.8 (ed65ebc)</t>
  </si>
  <si>
    <t>2026-10-27T12:16:43.263Z</t>
  </si>
  <si>
    <t>evaluacion/resultados/corrida-09/playwright.json, reporte-html/</t>
  </si>
  <si>
    <t>evaluacion/resultados/corrida-01/if02-oraculo.json</t>
  </si>
  <si>
    <t>evaluacion/resultados/corrida-02/if02-oraculo.json</t>
  </si>
  <si>
    <t>evaluacion/resultados/corrida-03/if02-oraculo.json</t>
  </si>
  <si>
    <t>evaluacion/resultados/corrida-04/if02-oraculo.json</t>
  </si>
  <si>
    <t>evaluacion/resultados/corrida-05/if02-oraculo.json</t>
  </si>
  <si>
    <t>evaluacion/resultados/corrida-06/if02-oraculo.json</t>
  </si>
  <si>
    <t>evaluacion/resultados/corrida-07/if02-oraculo.json</t>
  </si>
  <si>
    <t>evaluacion/resultados/corrida-08/if02-oraculo.json</t>
  </si>
  <si>
    <t>evaluacion/resultados/corrida-09/if02-oraculo.json</t>
  </si>
  <si>
    <t>evaluacion/resultados/corrida-01/interaccion.json, capturas/if03-dimensiones.png</t>
  </si>
  <si>
    <t>evaluacion/resultados/corrida-02/interaccion.json, capturas/if03-dimensiones.png</t>
  </si>
  <si>
    <t>evaluacion/resultados/corrida-03/interaccion.json, capturas/if03-dimensiones.png</t>
  </si>
  <si>
    <t>evaluacion/resultados/corrida-04/interaccion.json, capturas/if03-dimensiones.png</t>
  </si>
  <si>
    <t>evaluacion/resultados/corrida-05/interaccion.json, capturas/if03-dimensiones.png</t>
  </si>
  <si>
    <t>evaluacion/resultados/corrida-06/interaccion.json, capturas/if03-dimensiones.png</t>
  </si>
  <si>
    <t>INC-17, INC-19</t>
  </si>
  <si>
    <t>Se verificó que en departamento, provincia y distrito U+FFFD es el único carácter no ASCII y que las 31 palabras afectadas son topónimos con Ñ. El pipeline restituye la Ñ, lista los nombres corregidos en calidad_datos.json y el dashboard lo informa en «Datos y método». Todas las cifras quedaron idénticas (comparación completa de malaria.json antes y después). Se verifica en la corrida 07. La tarjeta usa una disposición apilada (etiqueta sobre valor). Se verifica en la corrida 07.</t>
  </si>
  <si>
    <t>evaluacion/resultados/corrida-07/interaccion.json, capturas/if03-dimensiones.png</t>
  </si>
  <si>
    <t>evaluacion/resultados/corrida-08/interaccion.json, capturas/if03-dimensiones.png</t>
  </si>
  <si>
    <t>evaluacion/resultados/corrida-09/interaccion.json, capturas/if03-dimensiones.png</t>
  </si>
  <si>
    <t>valor</t>
  </si>
  <si>
    <t>evaluacion/resultados/corrida-01/lighthouse.json, lighthouse.html</t>
  </si>
  <si>
    <t>INC-08</t>
  </si>
  <si>
    <t>Fuentes IBM Plex servidas desde el mismo origen (SIL OFL 1.1), precarga de la fuente principal y de los JSON de datos, y CSP restringida a font-src 'self'. Verificación en la corrida 02.</t>
  </si>
  <si>
    <t>evaluacion/resultados/corrida-02/lighthouse.json, lighthouse.html</t>
  </si>
  <si>
    <t>INC-12</t>
  </si>
  <si>
    <t>Se precargan los cuatro pesos de IBM Plex Sans y se usa font-display: optional, que no recoloca el texto. La corrida 03 mostró que eso solo eliminó la parte atribuida a las fuentes (0,0001): la causa principal era otra y se registra en INC-13.</t>
  </si>
  <si>
    <t>evaluacion/resultados/corrida-03/lighthouse.json, lighthouse.html</t>
  </si>
  <si>
    <t>INC-13, INC-14</t>
  </si>
  <si>
    <t>Se fijó grid-template-rows: auto 1fr en móvil, de modo que main absorbe el espacio libre y la barra no cambia de alto. En local, con red y CPU limitadas, el CLS bajó de 0,109 a 0,001. Se verifica en la corrida 04. El aviso queda en el HTML estático y se pinta antes de cargar los datos. La fecha de descarga va en una línea propia con altura reservada que se completa después (sin desplazamiento). En local, el LCP bajó de 2,7 s a 1,1 s. Se verifica en la corrida 04.</t>
  </si>
  <si>
    <t>evaluacion/resultados/corrida-04/lighthouse.json, lighthouse.html</t>
  </si>
  <si>
    <t>INC-15</t>
  </si>
  <si>
    <t>Se quitaron las precargas de datos y fuentes. D3 y los JSON se piden después del primer pintado con contenido (PerformanceObserver de tipo paint, con un tope de 500 ms). En local, con el mismo perfil de Lighthouse y sin compresión, el LCP simulado bajó de 5,56 s a 1,80 s. Se verifica en la corrida 05.</t>
  </si>
  <si>
    <t>evaluacion/resultados/corrida-05/lighthouse.json, lighthouse.html</t>
  </si>
  <si>
    <t>evaluacion/resultados/corrida-06/lighthouse.json, lighthouse.html</t>
  </si>
  <si>
    <t>evaluacion/resultados/corrida-07/lighthouse.json, lighthouse.html</t>
  </si>
  <si>
    <t>evaluacion/resultados/corrida-08/lighthouse.json, lighthouse.html</t>
  </si>
  <si>
    <t>evaluacion/resultados/corrida-09/lighthouse.json, lighthouse.html</t>
  </si>
  <si>
    <t>evaluacion/resultados/corrida-01/ed02-respuesta.json</t>
  </si>
  <si>
    <t>evaluacion/resultados/corrida-02/ed02-respuesta.json</t>
  </si>
  <si>
    <t>evaluacion/resultados/corrida-03/ed02-respuesta.json</t>
  </si>
  <si>
    <t>evaluacion/resultados/corrida-04/ed02-respuesta.json</t>
  </si>
  <si>
    <t>evaluacion/resultados/corrida-05/ed02-respuesta.json</t>
  </si>
  <si>
    <t>evaluacion/resultados/corrida-06/ed02-respuesta.json</t>
  </si>
  <si>
    <t>evaluacion/resultados/corrida-07/ed02-respuesta.json</t>
  </si>
  <si>
    <t>evaluacion/resultados/corrida-08/ed02-respuesta.json</t>
  </si>
  <si>
    <t>evaluacion/resultados/corrida-09/ed02-respuesta.json</t>
  </si>
  <si>
    <t>evaluacion/resultados/corrida-01/lighthouse.json</t>
  </si>
  <si>
    <t>evaluacion/resultados/corrida-02/lighthouse.json</t>
  </si>
  <si>
    <t>evaluacion/resultados/corrida-03/lighthouse.json</t>
  </si>
  <si>
    <t>evaluacion/resultados/corrida-04/lighthouse.json</t>
  </si>
  <si>
    <t>evaluacion/resultados/corrida-05/lighthouse.json</t>
  </si>
  <si>
    <t>evaluacion/resultados/corrida-06/lighthouse.json</t>
  </si>
  <si>
    <t>evaluacion/resultados/corrida-07/lighthouse.json</t>
  </si>
  <si>
    <t>evaluacion/resultados/corrida-08/lighthouse.json</t>
  </si>
  <si>
    <t>evaluacion/resultados/corrida-09/lighthouse.json</t>
  </si>
  <si>
    <t>evaluacion/resultados/corrida-01/co01-exportaciones.json</t>
  </si>
  <si>
    <t>evaluacion/resultados/corrida-02/co01-exportaciones.json</t>
  </si>
  <si>
    <t>evaluacion/resultados/corrida-03/co01-exportaciones.json</t>
  </si>
  <si>
    <t>evaluacion/resultados/corrida-04/co01-exportaciones.json</t>
  </si>
  <si>
    <t>evaluacion/resultados/corrida-05/co01-exportaciones.json</t>
  </si>
  <si>
    <t>evaluacion/resultados/corrida-06/co01-exportaciones.json</t>
  </si>
  <si>
    <t>evaluacion/resultados/corrida-07/co01-exportaciones.json</t>
  </si>
  <si>
    <t>evaluacion/resultados/corrida-08/co01-exportaciones.json</t>
  </si>
  <si>
    <t>evaluacion/resultados/corrida-09/co01-exportaciones.json</t>
  </si>
  <si>
    <t>evaluacion/resultados/corrida-01/interaccion.json</t>
  </si>
  <si>
    <t>evaluacion/resultados/corrida-02/interaccion.json</t>
  </si>
  <si>
    <t>evaluacion/resultados/corrida-03/interaccion.json</t>
  </si>
  <si>
    <t>evaluacion/resultados/corrida-04/interaccion.json</t>
  </si>
  <si>
    <t>evaluacion/resultados/corrida-05/interaccion.json</t>
  </si>
  <si>
    <t>evaluacion/resultados/corrida-06/interaccion.json</t>
  </si>
  <si>
    <t>evaluacion/resultados/corrida-07/interaccion.json</t>
  </si>
  <si>
    <t>evaluacion/resultados/corrida-08/interaccion.json</t>
  </si>
  <si>
    <t>evaluacion/resultados/corrida-09/interaccion.json</t>
  </si>
  <si>
    <t>evaluacion/resultados/corrida-01/ci03-axe.json, playwright.json</t>
  </si>
  <si>
    <t>INC-01, INC-02, INC-05</t>
  </si>
  <si>
    <t>Se retiró el aria-label para que el nombre accesible sea el texto visible. Verificado en la corrida 02. comun.js asigna tabindex=0, role=region y un aria-label traducido a cada .tablewrap. Verificado en la corrida 02. utilidades.js escribe cada fila en el archivo en el momento en que se mide. CI-03 se calcula sobre los 4 casos de Playwright.</t>
  </si>
  <si>
    <t>evaluacion/resultados/corrida-02/ci03-axe.json, playwright.json</t>
  </si>
  <si>
    <t>INC-11</t>
  </si>
  <si>
    <t>En pantallas pequeñas el texto se oculta solo de forma visual (clip-path), así que sigue siendo el nombre accesible. Se verifica en la corrida 03 con Lighthouse móvil.</t>
  </si>
  <si>
    <t>evaluacion/resultados/corrida-03/ci03-axe.json, playwright.json</t>
  </si>
  <si>
    <t>evaluacion/resultados/corrida-04/ci03-axe.json, playwright.json</t>
  </si>
  <si>
    <t>evaluacion/resultados/corrida-05/ci03-axe.json, playwright.json</t>
  </si>
  <si>
    <t>evaluacion/resultados/corrida-06/ci03-axe.json, playwright.json</t>
  </si>
  <si>
    <t>evaluacion/resultados/corrida-07/ci03-axe.json, playwright.json</t>
  </si>
  <si>
    <t>evaluacion/resultados/corrida-08/ci03-axe.json, playwright.json</t>
  </si>
  <si>
    <t>evaluacion/resultados/corrida-09/ci03-axe.json, playwright.json</t>
  </si>
  <si>
    <t>INC-16</t>
  </si>
  <si>
    <t>El nombre científico usa &lt;em&gt;. Se verificó que las tres leyendas no desbordan (scrollWidth = clientWidth). Se recomienda ampliar CI-04 con una comprobación de legibilidad. Se verifica en la corrida 06.</t>
  </si>
  <si>
    <t>INC-18</t>
  </si>
  <si>
    <t>Las etiquetas se ordenan y se separan con un mínimo de 14 px, sin salir del área del gráfico. Se verifica en la corrida 07.</t>
  </si>
  <si>
    <t>evaluacion/resultados/corrida-01/adaptabilidad-*.json, playwright.json</t>
  </si>
  <si>
    <t>Registrar incidente y corregir</t>
  </si>
  <si>
    <t>evaluacion/resultados/corrida-02/adaptabilidad-*.json, playwright.json</t>
  </si>
  <si>
    <t>evaluacion/resultados/corrida-03/adaptabilidad-*.json, playwright.json</t>
  </si>
  <si>
    <t>evaluacion/resultados/corrida-04/adaptabilidad-*.json, playwright.json</t>
  </si>
  <si>
    <t>evaluacion/resultados/corrida-05/adaptabilidad-*.json, playwright.json</t>
  </si>
  <si>
    <t>evaluacion/resultados/corrida-06/adaptabilidad-*.json, playwright.json</t>
  </si>
  <si>
    <t>evaluacion/resultados/corrida-07/adaptabilidad-*.json, playwright.json</t>
  </si>
  <si>
    <t>evaluacion/resultados/corrida-08/adaptabilidad-*.json, playwright.json</t>
  </si>
  <si>
    <t>evaluacion/resultados/corrida-09/adaptabilidad-*.json, playwright.json</t>
  </si>
  <si>
    <t>evaluacion/resultados/corrida-01/disponibilidad.json</t>
  </si>
  <si>
    <t>evaluacion/resultados/corrida-02/disponibilidad.json</t>
  </si>
  <si>
    <t>evaluacion/resultados/corrida-03/disponibilidad.json</t>
  </si>
  <si>
    <t>evaluacion/resultados/corrida-04/disponibilidad.json</t>
  </si>
  <si>
    <t>evaluacion/resultados/corrida-05/disponibilidad.json</t>
  </si>
  <si>
    <t>evaluacion/resultados/corrida-06/disponibilidad.json</t>
  </si>
  <si>
    <t>evaluacion/resultados/corrida-07/disponibilidad.json</t>
  </si>
  <si>
    <t>evaluacion/resultados/corrida-08/disponibilidad.json</t>
  </si>
  <si>
    <t>evaluacion/resultados/corrida-09/disponibilidad.json</t>
  </si>
  <si>
    <t>evaluacion/resultados/corrida-01/fiabilidad.json, capturas/fi03-*.png</t>
  </si>
  <si>
    <t>evaluacion/resultados/corrida-02/fiabilidad.json, capturas/fi03-*.png</t>
  </si>
  <si>
    <t>evaluacion/resultados/corrida-03/fiabilidad.json, capturas/fi03-*.png</t>
  </si>
  <si>
    <t>evaluacion/resultados/corrida-04/fiabilidad.json, capturas/fi03-*.png</t>
  </si>
  <si>
    <t>evaluacion/resultados/corrida-05/fiabilidad.json, capturas/fi03-*.png</t>
  </si>
  <si>
    <t>evaluacion/resultados/corrida-06/fiabilidad.json, capturas/fi03-*.png</t>
  </si>
  <si>
    <t>evaluacion/resultados/corrida-07/fiabilidad.json, capturas/fi03-*.png</t>
  </si>
  <si>
    <t>evaluacion/resultados/corrida-08/fiabilidad.json, capturas/fi03-*.png</t>
  </si>
  <si>
    <t>evaluacion/resultados/corrida-09/fiabilidad.json, capturas/fi03-*.png</t>
  </si>
  <si>
    <t>evaluacion/resultados/corrida-01/fiabilidad.json</t>
  </si>
  <si>
    <t>evaluacion/resultados/corrida-02/fiabilidad.json</t>
  </si>
  <si>
    <t>evaluacion/resultados/corrida-03/fiabilidad.json</t>
  </si>
  <si>
    <t>evaluacion/resultados/corrida-04/fiabilidad.json</t>
  </si>
  <si>
    <t>evaluacion/resultados/corrida-05/fiabilidad.json</t>
  </si>
  <si>
    <t>evaluacion/resultados/corrida-06/fiabilidad.json</t>
  </si>
  <si>
    <t>evaluacion/resultados/corrida-07/fiabilidad.json</t>
  </si>
  <si>
    <t>evaluacion/resultados/corrida-08/fiabilidad.json</t>
  </si>
  <si>
    <t>evaluacion/resultados/corrida-09/fiabilidad.json</t>
  </si>
  <si>
    <t>evaluacion/resultados/corrida-01/seguridad.json</t>
  </si>
  <si>
    <t>INC-06</t>
  </si>
  <si>
    <t>Una clave prohibida solo cuenta como dato individual si guarda un valor primitivo; los objetos de conteo se admiten como agregados.</t>
  </si>
  <si>
    <t>evaluacion/resultados/corrida-02/seguridad.json</t>
  </si>
  <si>
    <t>INC-10</t>
  </si>
  <si>
    <t>Se redefinió la regla: hay dato individual solo si un objeto dentro de un arreglo (un registro) tiene un campo prohibido con valor primitivo. Se verificó con controles positivos ([{edad: 34, sexo: 'F'}] se detecta) y negativos (los agregados se admiten).</t>
  </si>
  <si>
    <t>evaluacion/resultados/corrida-03/seguridad.json</t>
  </si>
  <si>
    <t>evaluacion/resultados/corrida-04/seguridad.json</t>
  </si>
  <si>
    <t>evaluacion/resultados/corrida-05/seguridad.json</t>
  </si>
  <si>
    <t>evaluacion/resultados/corrida-06/seguridad.json</t>
  </si>
  <si>
    <t>evaluacion/resultados/corrida-07/seguridad.json</t>
  </si>
  <si>
    <t>evaluacion/resultados/corrida-08/seguridad.json</t>
  </si>
  <si>
    <t>evaluacion/resultados/corrida-09/seguridad.json</t>
  </si>
  <si>
    <t>INC-20</t>
  </si>
  <si>
    <t>La fecha de descarga se toma de la fecha de modificación de los CSV descargados (26/10/2026); la de procesamiento queda aparte en fecha_proceso. Verificado: meta de malaria.json idéntico tras volver a ejecutar el pipeline.</t>
  </si>
  <si>
    <t>evaluacion/resultados/corrida-01/mantenibilidad.json</t>
  </si>
  <si>
    <t>INC-09</t>
  </si>
  <si>
    <t>Se dividió en principal(), pico(), tarjetasKpi() y fraseTendencia(), sin cambiar el resultado (las pruebas del oráculo siguen en 84/84).</t>
  </si>
  <si>
    <t>evaluacion/resultados/corrida-02/mantenibilidad.json</t>
  </si>
  <si>
    <t>evaluacion/resultados/corrida-03/mantenibilidad.json</t>
  </si>
  <si>
    <t>evaluacion/resultados/corrida-04/mantenibilidad.json</t>
  </si>
  <si>
    <t>evaluacion/resultados/corrida-05/mantenibilidad.json</t>
  </si>
  <si>
    <t>evaluacion/resultados/corrida-06/mantenibilidad.json</t>
  </si>
  <si>
    <t>evaluacion/resultados/corrida-07/mantenibilidad.json</t>
  </si>
  <si>
    <t>evaluacion/resultados/corrida-08/mantenibilidad.json</t>
  </si>
  <si>
    <t>evaluacion/resultados/corrida-09/mantenibilidad.json</t>
  </si>
  <si>
    <t>INC-07</t>
  </si>
  <si>
    <t>Se usó la sintaxis catch sin variable (ES2019).</t>
  </si>
  <si>
    <t>evaluacion/resultados/corrida-01/playwright.json + scripts</t>
  </si>
  <si>
    <t>evaluacion/resultados/corrida-02/playwright.json + scripts</t>
  </si>
  <si>
    <t>evaluacion/resultados/corrida-03/playwright.json + scripts</t>
  </si>
  <si>
    <t>evaluacion/resultados/corrida-04/playwright.json + scripts</t>
  </si>
  <si>
    <t>evaluacion/resultados/corrida-05/playwright.json + scripts</t>
  </si>
  <si>
    <t>evaluacion/resultados/corrida-06/playwright.json + scripts</t>
  </si>
  <si>
    <t>evaluacion/resultados/corrida-07/playwright.json + scripts</t>
  </si>
  <si>
    <t>evaluacion/resultados/corrida-08/playwright.json + scripts</t>
  </si>
  <si>
    <t>evaluacion/resultados/corrida-09/playwright.json + scripts</t>
  </si>
  <si>
    <t>evaluacion/resultados/corrida-01/adaptabilidad-*.json, capturas/fl01-*.png</t>
  </si>
  <si>
    <t>INC-03</t>
  </si>
  <si>
    <t>Se instalaron los navegadores con «npx playwright install firefox webkit» y se volvió a medir FL-01 y FI-01 en la corrida 02. El denominador de FL-01 y FI-01 pasa a ser el de los 9 casos planificados.</t>
  </si>
  <si>
    <t>evaluacion/resultados/corrida-02/adaptabilidad-*.json, capturas/fl01-*.png</t>
  </si>
  <si>
    <t>evaluacion/resultados/corrida-03/adaptabilidad-*.json, capturas/fl01-*.png</t>
  </si>
  <si>
    <t>evaluacion/resultados/corrida-04/adaptabilidad-*.json, capturas/fl01-*.png</t>
  </si>
  <si>
    <t>evaluacion/resultados/corrida-05/adaptabilidad-*.json, capturas/fl01-*.png</t>
  </si>
  <si>
    <t>evaluacion/resultados/corrida-06/adaptabilidad-*.json, capturas/fl01-*.png</t>
  </si>
  <si>
    <t>evaluacion/resultados/corrida-07/adaptabilidad-*.json, capturas/fl01-*.png</t>
  </si>
  <si>
    <t>evaluacion/resultados/corrida-08/adaptabilidad-*.json, capturas/fl01-*.png</t>
  </si>
  <si>
    <t>evaluacion/resultados/corrida-09/adaptabilidad-*.json, capturas/fl01-*.png</t>
  </si>
  <si>
    <t>Descripción</t>
  </si>
  <si>
    <t>Origen</t>
  </si>
  <si>
    <t>Severidad</t>
  </si>
  <si>
    <t>INC-01</t>
  </si>
  <si>
    <t>axe-core (regla label-content-name-mismatch, impacto serious): el enlace del logotipo tiene aria-label «VigiSalud Malaria», que no contiene el texto visible «VigiSalud Malaria · Perú». Afecta al dashboard (ES, EN y vista filtrada) y al tablero de calidad.</t>
  </si>
  <si>
    <t>producto</t>
  </si>
  <si>
    <t>media</t>
  </si>
  <si>
    <t>resuelto</t>
  </si>
  <si>
    <t>Se retiró el aria-label para que el nombre accesible sea el texto visible. Verificado en la corrida 02.</t>
  </si>
  <si>
    <t>I3</t>
  </si>
  <si>
    <t>evaluacion/resultados/corrida-01/ci03-axe.json; evaluacion/resultados/corrida-01/playwright.json</t>
  </si>
  <si>
    <t>INC-02</t>
  </si>
  <si>
    <t>axe-core (regla scrollable-region-focusable, impacto serious): los contenedores de tabla con desplazamiento (#tbAnual, #tbCanal y la tabla de subcaracterísticas no aplicables del tablero) no pueden recibir el foco, por lo que no se pueden desplazar con el teclado.</t>
  </si>
  <si>
    <t>alta</t>
  </si>
  <si>
    <t>comun.js asigna tabindex=0, role=region y un aria-label traducido a cada .tablewrap. Verificado en la corrida 02.</t>
  </si>
  <si>
    <t>evaluacion/resultados/corrida-01/playwright.json</t>
  </si>
  <si>
    <t>Las 6 combinaciones de Firefox y WebKit (móvil, tablet y escritorio) no se ejecutaron: «browserType.launch: Executable doesn't exist» en el equipo de ejecución.</t>
  </si>
  <si>
    <t>infraestructura</t>
  </si>
  <si>
    <t>I2</t>
  </si>
  <si>
    <t>La prueba RF-04 falló por «strict mode violation»: el localizador getByRole('button', {name: 'P. falciparum'}) coincidía con el filtro de especie y con el botón de orden «% P. falciparum» de la tabla de distritos. El producto funcionaba correctamente.</t>
  </si>
  <si>
    <t>script</t>
  </si>
  <si>
    <t>I4</t>
  </si>
  <si>
    <t>INC-05</t>
  </si>
  <si>
    <t>ci03-axe.json solo conservó la última de las 4 vistas auditadas. Cuando una prueba falla, Playwright reinicia el worker y las filas acumuladas en memoria se perdían.</t>
  </si>
  <si>
    <t>utilidades.js escribe cada fila en el archivo en el momento en que se mide. CI-03 se calcula sobre los 4 casos de Playwright.</t>
  </si>
  <si>
    <t>evaluacion/resultados/corrida-01/ci03-axe.json</t>
  </si>
  <si>
    <t>SE-01 marcó calidad_datos.json como dato individual por contener la clave «tipo_edad». Revisado el archivo, esa clave guarda un conteo agregado ({A: 622441, M: 8062, D: 114}), no edades de personas: falso positivo.</t>
  </si>
  <si>
    <t>baja</t>
  </si>
  <si>
    <t>ESLint reportó 3 problemas no-unused-vars (variable «e» sin usar en bloques catch de comun.js y calidad.js): densidad 3,01 por KLOC, por encima del umbral de 2.</t>
  </si>
  <si>
    <t>LCP móvil de 3,29 s (mediana de 3 ejecuciones de Lighthouse), por encima de 2,5 s. El elemento LCP es el aviso de datos provisionales; el 79 % del tiempo es retardo de renderizado y la hoja de estilos de Google Fonts bloqueaba el render unos 1,2 s.</t>
  </si>
  <si>
    <t>evaluacion/resultados/corrida-01/lighthouse.json; evaluacion/resultados/corrida-01/lighthouse.html</t>
  </si>
  <si>
    <t>La función kpis() de app.js tenía complejidad ciclomática 25, más del doble del límite de 10, aunque MA-01 en conjunto (98,2 %) cumplía el umbral.</t>
  </si>
  <si>
    <t>SE-01 volvió a marcar calidad_datos.json, esta vez por «localidad» y «localcod» dentro de «nulos» ({localidad: 5412, localcod: 5634}), que son conteos de valores nulos por columna. La corrección de INC-06 estaba incompleta: un número dentro de un objeto de conteo no es un dato de una persona.</t>
  </si>
  <si>
    <t>La auditoría de accesibilidad de Lighthouse en móvil bajó de 100 a 96 (regla link-name): en pantallas de menos de 960 px el enlace del logotipo quedó sin nombre accesible. Es una regresión de la corrección de INC-01, porque el texto se ocultaba con display:none. axe en escritorio (CI-03) no podía detectarlo.</t>
  </si>
  <si>
    <t>evaluacion/resultados/corrida-02/lighthouse.html</t>
  </si>
  <si>
    <t>El desplazamiento acumulado del diseño (CLS) pasó de 0 a 0,11 en móvil, por encima del valor «bueno» de Core Web Vitals (0,1). Lighthouse lo atribuye a la carga de las fuentes propias (500 y 600) con font-display: swap. Es un efecto secundario de la corrección de INC-08.</t>
  </si>
  <si>
    <t>evaluacion/resultados/corrida-02/lighthouse.json; evaluacion/resultados/corrida-02/lighthouse.html</t>
  </si>
  <si>
    <t>INC-13</t>
  </si>
  <si>
    <t>El CLS móvil siguió en 0,109 después de INC-12. Con PerformanceObserver (layout-shift) a 412×823 se vio la causa real: al pintarse los datos, todo main sube 92 px porque en móvil la cuadrícula .shell (min-height: 100vh, filas auto) estiraba la barra superior mientras main estaba vacío. Era un defecto latente: en la corrida 01 no se veía porque las fuentes bloqueantes retrasaban el primer pintado hasta después de la carga, y INC-08 lo dejó a la vista al adelantar el FCP de 2,1 a 0,9 s.</t>
  </si>
  <si>
    <t>Se fijó grid-template-rows: auto 1fr en móvil, de modo que main absorbe el espacio libre y la barra no cambia de alto. En local, con red y CPU limitadas, el CLS bajó de 0,109 a 0,001. Se verifica en la corrida 04.</t>
  </si>
  <si>
    <t>evaluacion/resultados/corrida-03/lighthouse.html</t>
  </si>
  <si>
    <t>INC-14</t>
  </si>
  <si>
    <t>LCP móvil de 2,56 s (mediana de 3 ejecuciones), por encima del umbral de 2,5 s; en la corrida 02 había sido 2,48 s. El elemento LCP (el aviso de datos provisionales) solo se pintaba después de descargar los datos, porque su texto incluía la fecha de descarga. La precarga de cuatro pesos de fuente agregada en INC-12 compite con esa descarga.</t>
  </si>
  <si>
    <t>El aviso queda en el HTML estático y se pinta antes de cargar los datos. La fecha de descarga va en una línea propia con altura reservada que se completa después (sin desplazamiento). En local, el LCP bajó de 2,7 s a 1,1 s. Se verifica en la corrida 04.</t>
  </si>
  <si>
    <t>evaluacion/resultados/corrida-03/lighthouse.json; evaluacion/resultados/corrida-03/lighthouse.html</t>
  </si>
  <si>
    <t>El CLS quedó resuelto (0,0013), pero el LCP móvil siguió en 2,55 s aunque el aviso ya se pintaba sin esperar los datos. Lighthouse usa throttling simulado (Lantern), que estima el LCP con todas las peticiones iniciadas antes del primer pintado: unos 330 KB (fuentes 92 KB y JSON 109 KB precargados en INC-08 e INC-12, y D3 93 KB). Ninguna era necesaria para el aviso, pero todas competían por el ancho de banda.</t>
  </si>
  <si>
    <t>evaluacion/resultados/corrida-04/lighthouse.json; evaluacion/resultados/corrida-04/lighthouse.html</t>
  </si>
  <si>
    <t>Al revisar a mano las capturas de la corrida 05 se vio que la leyenda del gráfico anual mostraba «P.» y «…lcipar» en lugar de los nombres de especie. La regla CSS .legend i, que dibuja la muestra de color de 10 × 10 px, se aplicaba también al nombre en cursiva, que estaba marcado con &lt;i&gt;. El defecto existía desde la v1.0. CI-04 no lo detectó porque comprueba que la leyenda exista en el DOM, no que se pueda leer.</t>
  </si>
  <si>
    <t>evaluacion/resultados/corrida-05/capturas/inc16-leyenda-recortada.png; evaluacion/resultados/corrida-05/capturas/rf05-tendencia.png</t>
  </si>
  <si>
    <t>INC-17</t>
  </si>
  <si>
    <t>La revisión manual de las capturas de la corrida 06 mostró «Datem Del Mara�on» en la tabla de distritos. Los CSV oficiales traen la letra Ñ sustituida por U+FFFD (4 079 apariciones en el archivo 2000–2008 y 134 362 en el de 2009–2025), y el pipeline la publicaba tal cual: 27 provincias o distritos con el nombre dañado (Cañete, Ferreñafe, Kosñipata, Nepeña…). Las cifras no se veían afectadas.</t>
  </si>
  <si>
    <t>Se verificó que en departamento, provincia y distrito U+FFFD es el único carácter no ASCII y que las 31 palabras afectadas son topónimos con Ñ. El pipeline restituye la Ñ, lista los nombres corregidos en calidad_datos.json y el dashboard lo informa en «Datos y método». Todas las cifras quedaron idénticas (comparación completa de malaria.json antes y después). Se verifica en la corrida 07.</t>
  </si>
  <si>
    <t>I1</t>
  </si>
  <si>
    <t>evaluacion/resultados/corrida-06/capturas/rf10-distritos.png; site/data/calidad_datos.json</t>
  </si>
  <si>
    <t>En el canal endémico, las etiquetas «Alarma» y «Seguridad» se superponían al final del gráfico cuando esas bandas son delgadas (por ejemplo, en 2024).</t>
  </si>
  <si>
    <t>evaluacion/resultados/corrida-06/capturas/rf06-canal-endemico.png</t>
  </si>
  <si>
    <t>INC-19</t>
  </si>
  <si>
    <t>En la tarjeta «Validación de datos», la etiqueta larga «Departamento recuperado por ubigeo INEI» ensanchaba la primera columna y dejaba los valores en una columna muy estrecha, con palabras partidas («descarta das»).</t>
  </si>
  <si>
    <t>La tarjeta usa una disposición apilada (etiqueta sobre valor). Se verifica en la corrida 07.</t>
  </si>
  <si>
    <t>evaluacion/resultados/corrida-06/capturas/rf12-datos-metodo.png</t>
  </si>
  <si>
    <t>Al volver a ejecutar el pipeline para INC-17 se vio que tomaba la fecha de descarga de la fecha del sistema (date.today()): cada nueva ejecución habría cambiado la fecha de descarga publicada, aunque los archivos fueran los mismos. Defecto latente, sin efecto visible hasta entonces.</t>
  </si>
  <si>
    <t>site/data/malaria.json; site/data/calidad_datos.json</t>
  </si>
  <si>
    <t>La revisión de las capturas en inglés de la corrida 07 mostró textos en español en la interfaz inglesa. Un barrido automático del texto visible confirmó 42 líneas en el tablero (justificaciones de las 9 características, 14 motivos de exclusión, nombres de características en esa tabla, 14 RNF y la descripción del objeto evaluado) y el motivo de descarte en «Data validation» del dashboard. La prueba de RF-13 aprobaba porque solo comprueba los textos fijos de la interfaz.</t>
  </si>
  <si>
    <t>I5</t>
  </si>
  <si>
    <t>evaluacion/resultados/corrida-07/capturas/rf15-tablero-calidad.png</t>
  </si>
  <si>
    <t>La inspección visual de las capturas en inglés de la corrida 08 mostró «Priority: Alta / Media / Baja» en las tarjetas de características del tablero. La corrección de INC-21 no lo cubrió, y el barrido automático tampoco lo detectó porque buscaba palabras frecuentes del español y no los valores enumerados del modelo.</t>
  </si>
  <si>
    <t>evaluacion/resultados/corrida-08/capturas/rf15-tablero-calidad.png</t>
  </si>
  <si>
    <t>Aprobadas C01</t>
  </si>
  <si>
    <t>Rechazadas C01</t>
  </si>
  <si>
    <t>Pendientes C01</t>
  </si>
  <si>
    <t>Aprobadas C02</t>
  </si>
  <si>
    <t>Rechazadas C02</t>
  </si>
  <si>
    <t>Pendientes C02</t>
  </si>
  <si>
    <t>Aprobadas C03</t>
  </si>
  <si>
    <t>Rechazadas C03</t>
  </si>
  <si>
    <t>Pendientes C03</t>
  </si>
  <si>
    <t>Aprobadas C04</t>
  </si>
  <si>
    <t>Rechazadas C04</t>
  </si>
  <si>
    <t>Pendientes C04</t>
  </si>
  <si>
    <t>Aprobadas C05</t>
  </si>
  <si>
    <t>Rechazadas C05</t>
  </si>
  <si>
    <t>Pendientes C05</t>
  </si>
  <si>
    <t>Aprobadas C06</t>
  </si>
  <si>
    <t>Rechazadas C06</t>
  </si>
  <si>
    <t>Pendientes C06</t>
  </si>
  <si>
    <t>Aprobadas C07</t>
  </si>
  <si>
    <t>Rechazadas C07</t>
  </si>
  <si>
    <t>Pendientes C07</t>
  </si>
  <si>
    <t>Aprobadas C08</t>
  </si>
  <si>
    <t>Rechazadas C08</t>
  </si>
  <si>
    <t>Pendientes C08</t>
  </si>
  <si>
    <t>Aprobadas C09</t>
  </si>
  <si>
    <t>Rechazadas C09</t>
  </si>
  <si>
    <t>Pendientes C09</t>
  </si>
  <si>
    <t>Estado última corrida</t>
  </si>
  <si>
    <t>Total</t>
  </si>
  <si>
    <t>Métricas</t>
  </si>
  <si>
    <t>Prueba automatizada (última corrida)</t>
  </si>
  <si>
    <t>Aprobado (RF)</t>
  </si>
  <si>
    <t>RF-01</t>
  </si>
  <si>
    <t>Cargar los datos oficiales y mostrar los indicadores clave del año y ámbito seleccionados</t>
  </si>
  <si>
    <t>Funcional</t>
  </si>
  <si>
    <t>IF-01, MA-03</t>
  </si>
  <si>
    <t>Sí</t>
  </si>
  <si>
    <t>RF-02</t>
  </si>
  <si>
    <t>Filtrar por año (2000–2025)</t>
  </si>
  <si>
    <t>RF-03</t>
  </si>
  <si>
    <t>Filtrar por departamento</t>
  </si>
  <si>
    <t>RF-04</t>
  </si>
  <si>
    <t>Filtrar por especie (P. vivax, P. falciparum)</t>
  </si>
  <si>
    <t>RF-05</t>
  </si>
  <si>
    <t>Mostrar la serie anual por especie</t>
  </si>
  <si>
    <t>RF-06</t>
  </si>
  <si>
    <t>Mostrar la curva semanal frente al canal endémico</t>
  </si>
  <si>
    <t>RF-07</t>
  </si>
  <si>
    <t>Mostrar un mapa coroplético por departamento que permita seleccionarlo</t>
  </si>
  <si>
    <t>RF-08</t>
  </si>
  <si>
    <t>Mostrar el ranking de departamentos</t>
  </si>
  <si>
    <t>RF-09</t>
  </si>
  <si>
    <t>Mostrar la distribución por edad y sexo (desde 2009)</t>
  </si>
  <si>
    <t>RF-10</t>
  </si>
  <si>
    <t>Listar los distritos con búsqueda y ordenamiento</t>
  </si>
  <si>
    <t>Exportar los datos filtrados en CSV y JSON</t>
  </si>
  <si>
    <t>RF-12</t>
  </si>
  <si>
    <t>Informar la fuente, la validación y los hashes de los datos</t>
  </si>
  <si>
    <t>RF-13</t>
  </si>
  <si>
    <t>Ofrecer la interfaz en español e inglés</t>
  </si>
  <si>
    <t>RF-14</t>
  </si>
  <si>
    <t>Compartir el estado de los filtros mediante la URL</t>
  </si>
  <si>
    <t>RF-15</t>
  </si>
  <si>
    <t>Presentar el tablero de control de calidad ISO/IEC 25010</t>
  </si>
  <si>
    <t>RNF-01</t>
  </si>
  <si>
    <t>Las cifras deben coincidir con los CSV oficiales</t>
  </si>
  <si>
    <t>No funcional</t>
  </si>
  <si>
    <t>RNF-02</t>
  </si>
  <si>
    <t>Cubrir las dimensiones tiempo, lugar y persona de la vigilancia</t>
  </si>
  <si>
    <t>RNF-03</t>
  </si>
  <si>
    <t>Carga ≤ 2,5 s (LCP móvil) y respuesta a filtros ≤ 200 ms</t>
  </si>
  <si>
    <t>RNF-04</t>
  </si>
  <si>
    <t>Carga inicial ≤ 1000 KB</t>
  </si>
  <si>
    <t>Accesible según WCAG 2.2 AA y operable con teclado</t>
  </si>
  <si>
    <t>CI-01, CI-03, CI-04</t>
  </si>
  <si>
    <t>Controlar entradas inválidas sin fallar</t>
  </si>
  <si>
    <t>Sin errores en uso normal; fallos de datos controlados y recuperables</t>
  </si>
  <si>
    <t>FI-01, FI-03, FI-04</t>
  </si>
  <si>
    <t>Disponibilidad ≥ 99 %</t>
  </si>
  <si>
    <t>RNF-09</t>
  </si>
  <si>
    <t>Publicar solo agregados (Ley N.° 29733)</t>
  </si>
  <si>
    <t>Verificar la integridad de los datos de origen y forzar HTTPS</t>
  </si>
  <si>
    <t>Aplicar las cabeceras de seguridad recomendadas por OWASP</t>
  </si>
  <si>
    <t>Código analizable y sin defectos de análisis estático</t>
  </si>
  <si>
    <t>MA-01, MA-02</t>
  </si>
  <si>
    <t>Funcionar en Chromium, Firefox y WebKit, en móvil, tablet y escritorio</t>
  </si>
  <si>
    <t>Advertir el carácter provisional, señalar límites y fallar de forma segura</t>
  </si>
  <si>
    <t>SO-01, SO-02, SO-03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</si>
</sst>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color rgb="FF7A1F2B"/>
      <name val="Calibri"/>
    </font>
    <font>
      <sz val="11"/>
      <color rgb="FF000000"/>
      <name val="Calibri"/>
    </font>
    <font>
      <b/>
      <sz val="11"/>
      <color rgb="FF7A1F2B"/>
      <name val="Calibri"/>
    </font>
    <font>
      <b/>
      <sz val="11"/>
      <color rgb="FFFFFFFF"/>
      <name val="Calibri"/>
    </font>
    <font>
      <b/>
      <sz val="11"/>
      <name val="Calibri"/>
    </font>
  </fonts>
  <fills count="3">
    <fill>
      <patternFill patternType="none"/>
    </fill>
    <fill>
      <patternFill patternType="gray125"/>
    </fill>
    <fill>
      <patternFill patternType="solid">
        <fgColor rgb="FF7A1F2B"/>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applyAlignment="1">
      <alignment vertical="center" wrapText="1"/>
    </xf>
    <xf numFmtId="0" fontId="0" fillId="0" borderId="1" xfId="0" applyBorder="1" applyAlignment="1">
      <alignment vertical="top" wrapText="1"/>
    </xf>
    <xf numFmtId="0" fontId="5" fillId="0" borderId="1" xfId="0" applyFont="1" applyBorder="1" applyAlignment="1">
      <alignment vertical="top" wrapText="1"/>
    </xf>
  </cellXfs>
  <cellStyles count="1">
    <cellStyle name="Normal" xfId="0" builtinId="0"/>
  </cellStyles>
  <dxfs count="5">
    <dxf>
      <fill>
        <patternFill patternType="solid">
          <fgColor rgb="FFF9E0E0"/>
        </patternFill>
      </fill>
    </dxf>
    <dxf>
      <fill>
        <patternFill patternType="solid">
          <fgColor rgb="FFE3F4E3"/>
        </patternFill>
      </fill>
    </dxf>
    <dxf>
      <fill>
        <patternFill patternType="solid">
          <fgColor rgb="FFE3EEFB"/>
        </patternFill>
      </fill>
    </dxf>
    <dxf>
      <fill>
        <patternFill patternType="solid">
          <fgColor rgb="FFF9E0E0"/>
        </patternFill>
      </fill>
    </dxf>
    <dxf>
      <fill>
        <patternFill patternType="solid">
          <fgColor rgb="FFE3F4E3"/>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8"/>
  <sheetViews>
    <sheetView tabSelected="1" zoomScale="90" workbookViewId="0"/>
  </sheetViews>
  <sheetFormatPr baseColWidth="10" defaultColWidth="9.140625" defaultRowHeight="15" x14ac:dyDescent="0.25"/>
  <cols>
    <col min="1" max="1" width="120" customWidth="1"/>
  </cols>
  <sheetData>
    <row r="1" spans="1:1" ht="18.75" x14ac:dyDescent="0.3">
      <c r="A1" s="1" t="s">
        <v>0</v>
      </c>
    </row>
    <row r="2" spans="1:1" x14ac:dyDescent="0.25">
      <c r="A2" s="2" t="s">
        <v>1</v>
      </c>
    </row>
    <row r="3" spans="1:1" x14ac:dyDescent="0.25">
      <c r="A3" s="2" t="s">
        <v>2</v>
      </c>
    </row>
    <row r="4" spans="1:1" x14ac:dyDescent="0.25">
      <c r="A4" s="2" t="s">
        <v>3</v>
      </c>
    </row>
    <row r="5" spans="1:1" x14ac:dyDescent="0.25">
      <c r="A5" s="2"/>
    </row>
    <row r="6" spans="1:1" x14ac:dyDescent="0.25">
      <c r="A6" s="3" t="s">
        <v>4</v>
      </c>
    </row>
    <row r="7" spans="1:1" x14ac:dyDescent="0.25">
      <c r="A7" s="2" t="s">
        <v>5</v>
      </c>
    </row>
    <row r="8" spans="1:1" x14ac:dyDescent="0.25">
      <c r="A8" s="2" t="s">
        <v>6</v>
      </c>
    </row>
    <row r="9" spans="1:1" x14ac:dyDescent="0.25">
      <c r="A9" s="2" t="s">
        <v>7</v>
      </c>
    </row>
    <row r="10" spans="1:1" x14ac:dyDescent="0.25">
      <c r="A10" s="2" t="s">
        <v>8</v>
      </c>
    </row>
    <row r="11" spans="1:1" x14ac:dyDescent="0.25">
      <c r="A11" s="2" t="s">
        <v>9</v>
      </c>
    </row>
    <row r="12" spans="1:1" x14ac:dyDescent="0.25">
      <c r="A12" s="2" t="s">
        <v>10</v>
      </c>
    </row>
    <row r="13" spans="1:1" x14ac:dyDescent="0.25">
      <c r="A13" s="2" t="s">
        <v>11</v>
      </c>
    </row>
    <row r="14" spans="1:1" x14ac:dyDescent="0.25">
      <c r="A14" s="2"/>
    </row>
    <row r="15" spans="1:1" x14ac:dyDescent="0.25">
      <c r="A15" s="3" t="s">
        <v>12</v>
      </c>
    </row>
    <row r="16" spans="1:1" x14ac:dyDescent="0.25">
      <c r="A16" s="2" t="s">
        <v>13</v>
      </c>
    </row>
    <row r="17" spans="1:1" x14ac:dyDescent="0.25">
      <c r="A17" s="2" t="s">
        <v>14</v>
      </c>
    </row>
    <row r="18" spans="1:1" x14ac:dyDescent="0.25">
      <c r="A18" s="2" t="s">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9"/>
  <sheetViews>
    <sheetView zoomScale="90" workbookViewId="0">
      <pane ySplit="1" topLeftCell="A2" activePane="bottomLeft" state="frozen"/>
      <selection pane="bottomLeft"/>
    </sheetView>
  </sheetViews>
  <sheetFormatPr baseColWidth="10" defaultColWidth="9.140625" defaultRowHeight="15" x14ac:dyDescent="0.25"/>
  <cols>
    <col min="1" max="1" width="8" customWidth="1"/>
    <col min="2" max="2" width="26" customWidth="1"/>
    <col min="3" max="3" width="10" customWidth="1"/>
    <col min="4" max="4" width="60" customWidth="1"/>
    <col min="5" max="5" width="32" customWidth="1"/>
    <col min="6" max="6" width="14" customWidth="1"/>
    <col min="7" max="7" width="50" customWidth="1"/>
  </cols>
  <sheetData>
    <row r="1" spans="1:7" ht="33.950000000000003" customHeight="1" x14ac:dyDescent="0.25">
      <c r="A1" s="4" t="s">
        <v>16</v>
      </c>
      <c r="B1" s="4" t="s">
        <v>17</v>
      </c>
      <c r="C1" s="4" t="s">
        <v>18</v>
      </c>
      <c r="D1" s="4" t="s">
        <v>19</v>
      </c>
      <c r="E1" s="4" t="s">
        <v>20</v>
      </c>
      <c r="F1" s="4" t="s">
        <v>21</v>
      </c>
      <c r="G1" s="4" t="s">
        <v>22</v>
      </c>
    </row>
    <row r="2" spans="1:7" ht="45" x14ac:dyDescent="0.25">
      <c r="A2" s="5" t="s">
        <v>23</v>
      </c>
      <c r="B2" s="5" t="s">
        <v>24</v>
      </c>
      <c r="C2" s="5" t="s">
        <v>25</v>
      </c>
      <c r="D2" s="5" t="s">
        <v>26</v>
      </c>
      <c r="E2" s="5" t="s">
        <v>27</v>
      </c>
      <c r="F2" s="5" t="s">
        <v>28</v>
      </c>
      <c r="G2" s="5" t="s">
        <v>29</v>
      </c>
    </row>
    <row r="3" spans="1:7" ht="45" x14ac:dyDescent="0.25">
      <c r="A3" s="5" t="s">
        <v>23</v>
      </c>
      <c r="B3" s="5" t="s">
        <v>24</v>
      </c>
      <c r="C3" s="5" t="s">
        <v>25</v>
      </c>
      <c r="D3" s="5" t="s">
        <v>26</v>
      </c>
      <c r="E3" s="5" t="s">
        <v>30</v>
      </c>
      <c r="F3" s="5" t="s">
        <v>28</v>
      </c>
      <c r="G3" s="5" t="s">
        <v>31</v>
      </c>
    </row>
    <row r="4" spans="1:7" ht="45" x14ac:dyDescent="0.25">
      <c r="A4" s="5" t="s">
        <v>23</v>
      </c>
      <c r="B4" s="5" t="s">
        <v>24</v>
      </c>
      <c r="C4" s="5" t="s">
        <v>25</v>
      </c>
      <c r="D4" s="5" t="s">
        <v>26</v>
      </c>
      <c r="E4" s="5" t="s">
        <v>32</v>
      </c>
      <c r="F4" s="5" t="s">
        <v>28</v>
      </c>
      <c r="G4" s="5" t="s">
        <v>33</v>
      </c>
    </row>
    <row r="5" spans="1:7" ht="45" x14ac:dyDescent="0.25">
      <c r="A5" s="5" t="s">
        <v>34</v>
      </c>
      <c r="B5" s="5" t="s">
        <v>35</v>
      </c>
      <c r="C5" s="5" t="s">
        <v>36</v>
      </c>
      <c r="D5" s="5" t="s">
        <v>37</v>
      </c>
      <c r="E5" s="5" t="s">
        <v>38</v>
      </c>
      <c r="F5" s="5" t="s">
        <v>28</v>
      </c>
      <c r="G5" s="5" t="s">
        <v>39</v>
      </c>
    </row>
    <row r="6" spans="1:7" ht="45" x14ac:dyDescent="0.25">
      <c r="A6" s="5" t="s">
        <v>34</v>
      </c>
      <c r="B6" s="5" t="s">
        <v>35</v>
      </c>
      <c r="C6" s="5" t="s">
        <v>36</v>
      </c>
      <c r="D6" s="5" t="s">
        <v>37</v>
      </c>
      <c r="E6" s="5" t="s">
        <v>40</v>
      </c>
      <c r="F6" s="5" t="s">
        <v>28</v>
      </c>
      <c r="G6" s="5" t="s">
        <v>41</v>
      </c>
    </row>
    <row r="7" spans="1:7" ht="45" x14ac:dyDescent="0.25">
      <c r="A7" s="5" t="s">
        <v>34</v>
      </c>
      <c r="B7" s="5" t="s">
        <v>35</v>
      </c>
      <c r="C7" s="5" t="s">
        <v>36</v>
      </c>
      <c r="D7" s="5" t="s">
        <v>37</v>
      </c>
      <c r="E7" s="5" t="s">
        <v>42</v>
      </c>
      <c r="F7" s="5" t="s">
        <v>43</v>
      </c>
      <c r="G7" s="5" t="s">
        <v>44</v>
      </c>
    </row>
    <row r="8" spans="1:7" ht="30" x14ac:dyDescent="0.25">
      <c r="A8" s="5" t="s">
        <v>45</v>
      </c>
      <c r="B8" s="5" t="s">
        <v>46</v>
      </c>
      <c r="C8" s="5" t="s">
        <v>47</v>
      </c>
      <c r="D8" s="5" t="s">
        <v>48</v>
      </c>
      <c r="E8" s="5" t="s">
        <v>49</v>
      </c>
      <c r="F8" s="5" t="s">
        <v>28</v>
      </c>
      <c r="G8" s="5" t="s">
        <v>50</v>
      </c>
    </row>
    <row r="9" spans="1:7" ht="30" x14ac:dyDescent="0.25">
      <c r="A9" s="5" t="s">
        <v>45</v>
      </c>
      <c r="B9" s="5" t="s">
        <v>46</v>
      </c>
      <c r="C9" s="5" t="s">
        <v>47</v>
      </c>
      <c r="D9" s="5" t="s">
        <v>48</v>
      </c>
      <c r="E9" s="5" t="s">
        <v>51</v>
      </c>
      <c r="F9" s="5" t="s">
        <v>43</v>
      </c>
      <c r="G9" s="5" t="s">
        <v>52</v>
      </c>
    </row>
    <row r="10" spans="1:7" ht="45" x14ac:dyDescent="0.25">
      <c r="A10" s="5" t="s">
        <v>53</v>
      </c>
      <c r="B10" s="5" t="s">
        <v>54</v>
      </c>
      <c r="C10" s="5" t="s">
        <v>25</v>
      </c>
      <c r="D10" s="5" t="s">
        <v>55</v>
      </c>
      <c r="E10" s="5" t="s">
        <v>56</v>
      </c>
      <c r="F10" s="5" t="s">
        <v>28</v>
      </c>
      <c r="G10" s="5" t="s">
        <v>57</v>
      </c>
    </row>
    <row r="11" spans="1:7" ht="45" x14ac:dyDescent="0.25">
      <c r="A11" s="5" t="s">
        <v>53</v>
      </c>
      <c r="B11" s="5" t="s">
        <v>54</v>
      </c>
      <c r="C11" s="5" t="s">
        <v>25</v>
      </c>
      <c r="D11" s="5" t="s">
        <v>55</v>
      </c>
      <c r="E11" s="5" t="s">
        <v>58</v>
      </c>
      <c r="F11" s="5" t="s">
        <v>28</v>
      </c>
      <c r="G11" s="5" t="s">
        <v>59</v>
      </c>
    </row>
    <row r="12" spans="1:7" ht="45" x14ac:dyDescent="0.25">
      <c r="A12" s="5" t="s">
        <v>53</v>
      </c>
      <c r="B12" s="5" t="s">
        <v>54</v>
      </c>
      <c r="C12" s="5" t="s">
        <v>25</v>
      </c>
      <c r="D12" s="5" t="s">
        <v>55</v>
      </c>
      <c r="E12" s="5" t="s">
        <v>60</v>
      </c>
      <c r="F12" s="5" t="s">
        <v>28</v>
      </c>
      <c r="G12" s="5" t="s">
        <v>61</v>
      </c>
    </row>
    <row r="13" spans="1:7" ht="45" x14ac:dyDescent="0.25">
      <c r="A13" s="5" t="s">
        <v>53</v>
      </c>
      <c r="B13" s="5" t="s">
        <v>54</v>
      </c>
      <c r="C13" s="5" t="s">
        <v>25</v>
      </c>
      <c r="D13" s="5" t="s">
        <v>55</v>
      </c>
      <c r="E13" s="5" t="s">
        <v>62</v>
      </c>
      <c r="F13" s="5" t="s">
        <v>28</v>
      </c>
      <c r="G13" s="5" t="s">
        <v>63</v>
      </c>
    </row>
    <row r="14" spans="1:7" ht="45" x14ac:dyDescent="0.25">
      <c r="A14" s="5" t="s">
        <v>53</v>
      </c>
      <c r="B14" s="5" t="s">
        <v>54</v>
      </c>
      <c r="C14" s="5" t="s">
        <v>25</v>
      </c>
      <c r="D14" s="5" t="s">
        <v>55</v>
      </c>
      <c r="E14" s="5" t="s">
        <v>64</v>
      </c>
      <c r="F14" s="5" t="s">
        <v>65</v>
      </c>
      <c r="G14" s="5" t="s">
        <v>66</v>
      </c>
    </row>
    <row r="15" spans="1:7" ht="45" x14ac:dyDescent="0.25">
      <c r="A15" s="5" t="s">
        <v>53</v>
      </c>
      <c r="B15" s="5" t="s">
        <v>54</v>
      </c>
      <c r="C15" s="5" t="s">
        <v>25</v>
      </c>
      <c r="D15" s="5" t="s">
        <v>55</v>
      </c>
      <c r="E15" s="5" t="s">
        <v>67</v>
      </c>
      <c r="F15" s="5" t="s">
        <v>65</v>
      </c>
      <c r="G15" s="5" t="s">
        <v>68</v>
      </c>
    </row>
    <row r="16" spans="1:7" ht="30" x14ac:dyDescent="0.25">
      <c r="A16" s="5" t="s">
        <v>69</v>
      </c>
      <c r="B16" s="5" t="s">
        <v>70</v>
      </c>
      <c r="C16" s="5" t="s">
        <v>25</v>
      </c>
      <c r="D16" s="5" t="s">
        <v>71</v>
      </c>
      <c r="E16" s="5" t="s">
        <v>72</v>
      </c>
      <c r="F16" s="5" t="s">
        <v>28</v>
      </c>
      <c r="G16" s="5" t="s">
        <v>73</v>
      </c>
    </row>
    <row r="17" spans="1:7" ht="30" x14ac:dyDescent="0.25">
      <c r="A17" s="5" t="s">
        <v>69</v>
      </c>
      <c r="B17" s="5" t="s">
        <v>70</v>
      </c>
      <c r="C17" s="5" t="s">
        <v>25</v>
      </c>
      <c r="D17" s="5" t="s">
        <v>71</v>
      </c>
      <c r="E17" s="5" t="s">
        <v>74</v>
      </c>
      <c r="F17" s="5" t="s">
        <v>28</v>
      </c>
      <c r="G17" s="5" t="s">
        <v>75</v>
      </c>
    </row>
    <row r="18" spans="1:7" ht="30" x14ac:dyDescent="0.25">
      <c r="A18" s="5" t="s">
        <v>69</v>
      </c>
      <c r="B18" s="5" t="s">
        <v>70</v>
      </c>
      <c r="C18" s="5" t="s">
        <v>25</v>
      </c>
      <c r="D18" s="5" t="s">
        <v>71</v>
      </c>
      <c r="E18" s="5" t="s">
        <v>76</v>
      </c>
      <c r="F18" s="5" t="s">
        <v>28</v>
      </c>
      <c r="G18" s="5" t="s">
        <v>77</v>
      </c>
    </row>
    <row r="19" spans="1:7" ht="30" x14ac:dyDescent="0.25">
      <c r="A19" s="5" t="s">
        <v>69</v>
      </c>
      <c r="B19" s="5" t="s">
        <v>70</v>
      </c>
      <c r="C19" s="5" t="s">
        <v>25</v>
      </c>
      <c r="D19" s="5" t="s">
        <v>71</v>
      </c>
      <c r="E19" s="5" t="s">
        <v>78</v>
      </c>
      <c r="F19" s="5" t="s">
        <v>28</v>
      </c>
      <c r="G19" s="5" t="s">
        <v>79</v>
      </c>
    </row>
    <row r="20" spans="1:7" ht="45" x14ac:dyDescent="0.25">
      <c r="A20" s="5" t="s">
        <v>80</v>
      </c>
      <c r="B20" s="5" t="s">
        <v>81</v>
      </c>
      <c r="C20" s="5" t="s">
        <v>25</v>
      </c>
      <c r="D20" s="5" t="s">
        <v>82</v>
      </c>
      <c r="E20" s="5" t="s">
        <v>83</v>
      </c>
      <c r="F20" s="5" t="s">
        <v>28</v>
      </c>
      <c r="G20" s="5" t="s">
        <v>84</v>
      </c>
    </row>
    <row r="21" spans="1:7" ht="45" x14ac:dyDescent="0.25">
      <c r="A21" s="5" t="s">
        <v>80</v>
      </c>
      <c r="B21" s="5" t="s">
        <v>81</v>
      </c>
      <c r="C21" s="5" t="s">
        <v>25</v>
      </c>
      <c r="D21" s="5" t="s">
        <v>82</v>
      </c>
      <c r="E21" s="5" t="s">
        <v>85</v>
      </c>
      <c r="F21" s="5" t="s">
        <v>28</v>
      </c>
      <c r="G21" s="5" t="s">
        <v>86</v>
      </c>
    </row>
    <row r="22" spans="1:7" ht="45" x14ac:dyDescent="0.25">
      <c r="A22" s="5" t="s">
        <v>80</v>
      </c>
      <c r="B22" s="5" t="s">
        <v>81</v>
      </c>
      <c r="C22" s="5" t="s">
        <v>25</v>
      </c>
      <c r="D22" s="5" t="s">
        <v>82</v>
      </c>
      <c r="E22" s="5" t="s">
        <v>87</v>
      </c>
      <c r="F22" s="5" t="s">
        <v>28</v>
      </c>
      <c r="G22" s="5" t="s">
        <v>88</v>
      </c>
    </row>
    <row r="23" spans="1:7" ht="45" x14ac:dyDescent="0.25">
      <c r="A23" s="5" t="s">
        <v>80</v>
      </c>
      <c r="B23" s="5" t="s">
        <v>81</v>
      </c>
      <c r="C23" s="5" t="s">
        <v>25</v>
      </c>
      <c r="D23" s="5" t="s">
        <v>82</v>
      </c>
      <c r="E23" s="5" t="s">
        <v>89</v>
      </c>
      <c r="F23" s="5" t="s">
        <v>43</v>
      </c>
      <c r="G23" s="5" t="s">
        <v>90</v>
      </c>
    </row>
    <row r="24" spans="1:7" ht="45" x14ac:dyDescent="0.25">
      <c r="A24" s="5" t="s">
        <v>80</v>
      </c>
      <c r="B24" s="5" t="s">
        <v>81</v>
      </c>
      <c r="C24" s="5" t="s">
        <v>25</v>
      </c>
      <c r="D24" s="5" t="s">
        <v>82</v>
      </c>
      <c r="E24" s="5" t="s">
        <v>91</v>
      </c>
      <c r="F24" s="5" t="s">
        <v>43</v>
      </c>
      <c r="G24" s="5" t="s">
        <v>92</v>
      </c>
    </row>
    <row r="25" spans="1:7" ht="45" x14ac:dyDescent="0.25">
      <c r="A25" s="5" t="s">
        <v>80</v>
      </c>
      <c r="B25" s="5" t="s">
        <v>81</v>
      </c>
      <c r="C25" s="5" t="s">
        <v>25</v>
      </c>
      <c r="D25" s="5" t="s">
        <v>82</v>
      </c>
      <c r="E25" s="5" t="s">
        <v>93</v>
      </c>
      <c r="F25" s="5" t="s">
        <v>43</v>
      </c>
      <c r="G25" s="5" t="s">
        <v>94</v>
      </c>
    </row>
    <row r="26" spans="1:7" ht="30" x14ac:dyDescent="0.25">
      <c r="A26" s="5" t="s">
        <v>95</v>
      </c>
      <c r="B26" s="5" t="s">
        <v>96</v>
      </c>
      <c r="C26" s="5" t="s">
        <v>36</v>
      </c>
      <c r="D26" s="5" t="s">
        <v>97</v>
      </c>
      <c r="E26" s="5" t="s">
        <v>98</v>
      </c>
      <c r="F26" s="5" t="s">
        <v>28</v>
      </c>
      <c r="G26" s="5" t="s">
        <v>99</v>
      </c>
    </row>
    <row r="27" spans="1:7" ht="30" x14ac:dyDescent="0.25">
      <c r="A27" s="5" t="s">
        <v>95</v>
      </c>
      <c r="B27" s="5" t="s">
        <v>96</v>
      </c>
      <c r="C27" s="5" t="s">
        <v>36</v>
      </c>
      <c r="D27" s="5" t="s">
        <v>97</v>
      </c>
      <c r="E27" s="5" t="s">
        <v>100</v>
      </c>
      <c r="F27" s="5" t="s">
        <v>28</v>
      </c>
      <c r="G27" s="5" t="s">
        <v>101</v>
      </c>
    </row>
    <row r="28" spans="1:7" ht="30" x14ac:dyDescent="0.25">
      <c r="A28" s="5" t="s">
        <v>95</v>
      </c>
      <c r="B28" s="5" t="s">
        <v>96</v>
      </c>
      <c r="C28" s="5" t="s">
        <v>36</v>
      </c>
      <c r="D28" s="5" t="s">
        <v>97</v>
      </c>
      <c r="E28" s="5" t="s">
        <v>102</v>
      </c>
      <c r="F28" s="5" t="s">
        <v>28</v>
      </c>
      <c r="G28" s="5" t="s">
        <v>103</v>
      </c>
    </row>
    <row r="29" spans="1:7" ht="30" x14ac:dyDescent="0.25">
      <c r="A29" s="5" t="s">
        <v>95</v>
      </c>
      <c r="B29" s="5" t="s">
        <v>96</v>
      </c>
      <c r="C29" s="5" t="s">
        <v>36</v>
      </c>
      <c r="D29" s="5" t="s">
        <v>97</v>
      </c>
      <c r="E29" s="5" t="s">
        <v>104</v>
      </c>
      <c r="F29" s="5" t="s">
        <v>65</v>
      </c>
      <c r="G29" s="5" t="s">
        <v>105</v>
      </c>
    </row>
    <row r="30" spans="1:7" ht="30" x14ac:dyDescent="0.25">
      <c r="A30" s="5" t="s">
        <v>95</v>
      </c>
      <c r="B30" s="5" t="s">
        <v>96</v>
      </c>
      <c r="C30" s="5" t="s">
        <v>36</v>
      </c>
      <c r="D30" s="5" t="s">
        <v>97</v>
      </c>
      <c r="E30" s="5" t="s">
        <v>106</v>
      </c>
      <c r="F30" s="5" t="s">
        <v>65</v>
      </c>
      <c r="G30" s="5" t="s">
        <v>107</v>
      </c>
    </row>
    <row r="31" spans="1:7" ht="30" x14ac:dyDescent="0.25">
      <c r="A31" s="5" t="s">
        <v>108</v>
      </c>
      <c r="B31" s="5" t="s">
        <v>109</v>
      </c>
      <c r="C31" s="5" t="s">
        <v>36</v>
      </c>
      <c r="D31" s="5" t="s">
        <v>110</v>
      </c>
      <c r="E31" s="5" t="s">
        <v>111</v>
      </c>
      <c r="F31" s="5" t="s">
        <v>28</v>
      </c>
      <c r="G31" s="5" t="s">
        <v>112</v>
      </c>
    </row>
    <row r="32" spans="1:7" ht="30" x14ac:dyDescent="0.25">
      <c r="A32" s="5" t="s">
        <v>108</v>
      </c>
      <c r="B32" s="5" t="s">
        <v>109</v>
      </c>
      <c r="C32" s="5" t="s">
        <v>36</v>
      </c>
      <c r="D32" s="5" t="s">
        <v>110</v>
      </c>
      <c r="E32" s="5" t="s">
        <v>113</v>
      </c>
      <c r="F32" s="5" t="s">
        <v>43</v>
      </c>
      <c r="G32" s="5" t="s">
        <v>114</v>
      </c>
    </row>
    <row r="33" spans="1:7" ht="30" x14ac:dyDescent="0.25">
      <c r="A33" s="5" t="s">
        <v>108</v>
      </c>
      <c r="B33" s="5" t="s">
        <v>109</v>
      </c>
      <c r="C33" s="5" t="s">
        <v>36</v>
      </c>
      <c r="D33" s="5" t="s">
        <v>110</v>
      </c>
      <c r="E33" s="5" t="s">
        <v>115</v>
      </c>
      <c r="F33" s="5" t="s">
        <v>43</v>
      </c>
      <c r="G33" s="5" t="s">
        <v>116</v>
      </c>
    </row>
    <row r="34" spans="1:7" ht="30" x14ac:dyDescent="0.25">
      <c r="A34" s="5" t="s">
        <v>108</v>
      </c>
      <c r="B34" s="5" t="s">
        <v>109</v>
      </c>
      <c r="C34" s="5" t="s">
        <v>36</v>
      </c>
      <c r="D34" s="5" t="s">
        <v>110</v>
      </c>
      <c r="E34" s="5" t="s">
        <v>117</v>
      </c>
      <c r="F34" s="5" t="s">
        <v>43</v>
      </c>
      <c r="G34" s="5" t="s">
        <v>118</v>
      </c>
    </row>
    <row r="35" spans="1:7" ht="45" x14ac:dyDescent="0.25">
      <c r="A35" s="5" t="s">
        <v>119</v>
      </c>
      <c r="B35" s="5" t="s">
        <v>120</v>
      </c>
      <c r="C35" s="5" t="s">
        <v>25</v>
      </c>
      <c r="D35" s="5" t="s">
        <v>121</v>
      </c>
      <c r="E35" s="5" t="s">
        <v>122</v>
      </c>
      <c r="F35" s="5" t="s">
        <v>28</v>
      </c>
      <c r="G35" s="5" t="s">
        <v>123</v>
      </c>
    </row>
    <row r="36" spans="1:7" ht="45" x14ac:dyDescent="0.25">
      <c r="A36" s="5" t="s">
        <v>119</v>
      </c>
      <c r="B36" s="5" t="s">
        <v>120</v>
      </c>
      <c r="C36" s="5" t="s">
        <v>25</v>
      </c>
      <c r="D36" s="5" t="s">
        <v>121</v>
      </c>
      <c r="E36" s="5" t="s">
        <v>124</v>
      </c>
      <c r="F36" s="5" t="s">
        <v>28</v>
      </c>
      <c r="G36" s="5" t="s">
        <v>125</v>
      </c>
    </row>
    <row r="37" spans="1:7" ht="45" x14ac:dyDescent="0.25">
      <c r="A37" s="5" t="s">
        <v>119</v>
      </c>
      <c r="B37" s="5" t="s">
        <v>120</v>
      </c>
      <c r="C37" s="5" t="s">
        <v>25</v>
      </c>
      <c r="D37" s="5" t="s">
        <v>121</v>
      </c>
      <c r="E37" s="5" t="s">
        <v>126</v>
      </c>
      <c r="F37" s="5" t="s">
        <v>28</v>
      </c>
      <c r="G37" s="5" t="s">
        <v>127</v>
      </c>
    </row>
    <row r="38" spans="1:7" ht="45" x14ac:dyDescent="0.25">
      <c r="A38" s="5" t="s">
        <v>119</v>
      </c>
      <c r="B38" s="5" t="s">
        <v>120</v>
      </c>
      <c r="C38" s="5" t="s">
        <v>25</v>
      </c>
      <c r="D38" s="5" t="s">
        <v>121</v>
      </c>
      <c r="E38" s="5" t="s">
        <v>128</v>
      </c>
      <c r="F38" s="5" t="s">
        <v>43</v>
      </c>
      <c r="G38" s="5" t="s">
        <v>129</v>
      </c>
    </row>
    <row r="39" spans="1:7" ht="45" x14ac:dyDescent="0.25">
      <c r="A39" s="5" t="s">
        <v>119</v>
      </c>
      <c r="B39" s="5" t="s">
        <v>120</v>
      </c>
      <c r="C39" s="5" t="s">
        <v>25</v>
      </c>
      <c r="D39" s="5" t="s">
        <v>121</v>
      </c>
      <c r="E39" s="5" t="s">
        <v>130</v>
      </c>
      <c r="F39" s="5" t="s">
        <v>43</v>
      </c>
      <c r="G39" s="5" t="s">
        <v>131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6"/>
  <sheetViews>
    <sheetView zoomScale="90" workbookViewId="0">
      <pane ySplit="1" topLeftCell="A2" activePane="bottomLeft" state="frozen"/>
      <selection pane="bottomLeft"/>
    </sheetView>
  </sheetViews>
  <sheetFormatPr baseColWidth="10" defaultColWidth="9.140625" defaultRowHeight="15" x14ac:dyDescent="0.25"/>
  <cols>
    <col min="1" max="1" width="8" customWidth="1"/>
    <col min="2" max="2" width="20" customWidth="1"/>
    <col min="3" max="3" width="22" customWidth="1"/>
    <col min="4" max="4" width="30" customWidth="1"/>
    <col min="5" max="5" width="40" customWidth="1"/>
    <col min="6" max="6" width="44" customWidth="1"/>
    <col min="7" max="8" width="32" customWidth="1"/>
    <col min="9" max="9" width="16" customWidth="1"/>
    <col min="10" max="10" width="10" customWidth="1"/>
    <col min="11" max="11" width="9" customWidth="1"/>
    <col min="12" max="12" width="8" customWidth="1"/>
    <col min="13" max="13" width="14" customWidth="1"/>
    <col min="14" max="14" width="36" customWidth="1"/>
    <col min="15" max="15" width="22" customWidth="1"/>
    <col min="16" max="16" width="26" customWidth="1"/>
  </cols>
  <sheetData>
    <row r="1" spans="1:16" ht="33.950000000000003" customHeight="1" x14ac:dyDescent="0.25">
      <c r="A1" s="4" t="s">
        <v>132</v>
      </c>
      <c r="B1" s="4" t="s">
        <v>17</v>
      </c>
      <c r="C1" s="4" t="s">
        <v>20</v>
      </c>
      <c r="D1" s="4" t="s">
        <v>133</v>
      </c>
      <c r="E1" s="4" t="s">
        <v>134</v>
      </c>
      <c r="F1" s="4" t="s">
        <v>135</v>
      </c>
      <c r="G1" s="4" t="s">
        <v>136</v>
      </c>
      <c r="H1" s="4" t="s">
        <v>137</v>
      </c>
      <c r="I1" s="4" t="s">
        <v>138</v>
      </c>
      <c r="J1" s="4" t="s">
        <v>139</v>
      </c>
      <c r="K1" s="4" t="s">
        <v>140</v>
      </c>
      <c r="L1" s="4" t="s">
        <v>141</v>
      </c>
      <c r="M1" s="4" t="s">
        <v>142</v>
      </c>
      <c r="N1" s="4" t="s">
        <v>143</v>
      </c>
      <c r="O1" s="4" t="s">
        <v>144</v>
      </c>
      <c r="P1" s="4" t="s">
        <v>145</v>
      </c>
    </row>
    <row r="2" spans="1:16" ht="30" x14ac:dyDescent="0.25">
      <c r="A2" s="5" t="s">
        <v>29</v>
      </c>
      <c r="B2" s="5" t="s">
        <v>24</v>
      </c>
      <c r="C2" s="5" t="s">
        <v>27</v>
      </c>
      <c r="D2" s="5" t="s">
        <v>146</v>
      </c>
      <c r="E2" s="5" t="s">
        <v>147</v>
      </c>
      <c r="F2" s="5" t="s">
        <v>148</v>
      </c>
      <c r="G2" s="5" t="s">
        <v>149</v>
      </c>
      <c r="H2" s="5" t="s">
        <v>150</v>
      </c>
      <c r="I2" s="5" t="s">
        <v>151</v>
      </c>
      <c r="J2" s="5" t="s">
        <v>152</v>
      </c>
      <c r="K2" s="5" t="s">
        <v>153</v>
      </c>
      <c r="L2" s="5">
        <v>95</v>
      </c>
      <c r="M2" s="5" t="s">
        <v>154</v>
      </c>
      <c r="N2" s="5" t="s">
        <v>155</v>
      </c>
      <c r="O2" s="5" t="s">
        <v>156</v>
      </c>
      <c r="P2" s="5" t="s">
        <v>157</v>
      </c>
    </row>
    <row r="3" spans="1:16" ht="45" x14ac:dyDescent="0.25">
      <c r="A3" s="5" t="s">
        <v>31</v>
      </c>
      <c r="B3" s="5" t="s">
        <v>24</v>
      </c>
      <c r="C3" s="5" t="s">
        <v>30</v>
      </c>
      <c r="D3" s="5" t="s">
        <v>158</v>
      </c>
      <c r="E3" s="5" t="s">
        <v>159</v>
      </c>
      <c r="F3" s="5" t="s">
        <v>160</v>
      </c>
      <c r="G3" s="5" t="s">
        <v>161</v>
      </c>
      <c r="H3" s="5" t="s">
        <v>162</v>
      </c>
      <c r="I3" s="5" t="s">
        <v>151</v>
      </c>
      <c r="J3" s="5" t="s">
        <v>152</v>
      </c>
      <c r="K3" s="5" t="s">
        <v>153</v>
      </c>
      <c r="L3" s="5">
        <v>100</v>
      </c>
      <c r="M3" s="5" t="s">
        <v>163</v>
      </c>
      <c r="N3" s="5" t="s">
        <v>164</v>
      </c>
      <c r="O3" s="5" t="s">
        <v>165</v>
      </c>
      <c r="P3" s="5" t="s">
        <v>157</v>
      </c>
    </row>
    <row r="4" spans="1:16" ht="75" x14ac:dyDescent="0.25">
      <c r="A4" s="5" t="s">
        <v>33</v>
      </c>
      <c r="B4" s="5" t="s">
        <v>24</v>
      </c>
      <c r="C4" s="5" t="s">
        <v>32</v>
      </c>
      <c r="D4" s="5" t="s">
        <v>166</v>
      </c>
      <c r="E4" s="5" t="s">
        <v>167</v>
      </c>
      <c r="F4" s="5" t="s">
        <v>168</v>
      </c>
      <c r="G4" s="5" t="s">
        <v>169</v>
      </c>
      <c r="H4" s="5" t="s">
        <v>170</v>
      </c>
      <c r="I4" s="5" t="s">
        <v>151</v>
      </c>
      <c r="J4" s="5" t="s">
        <v>152</v>
      </c>
      <c r="K4" s="5" t="s">
        <v>153</v>
      </c>
      <c r="L4" s="5">
        <v>90</v>
      </c>
      <c r="M4" s="5" t="s">
        <v>171</v>
      </c>
      <c r="N4" s="5" t="s">
        <v>172</v>
      </c>
      <c r="O4" s="5" t="s">
        <v>173</v>
      </c>
      <c r="P4" s="5" t="s">
        <v>157</v>
      </c>
    </row>
    <row r="5" spans="1:16" ht="45" x14ac:dyDescent="0.25">
      <c r="A5" s="5" t="s">
        <v>174</v>
      </c>
      <c r="B5" s="5" t="s">
        <v>35</v>
      </c>
      <c r="C5" s="5" t="s">
        <v>38</v>
      </c>
      <c r="D5" s="5" t="s">
        <v>175</v>
      </c>
      <c r="E5" s="5" t="s">
        <v>176</v>
      </c>
      <c r="F5" s="5" t="s">
        <v>177</v>
      </c>
      <c r="G5" s="5" t="s">
        <v>178</v>
      </c>
      <c r="H5" s="5" t="s">
        <v>179</v>
      </c>
      <c r="I5" s="5" t="s">
        <v>180</v>
      </c>
      <c r="J5" s="5" t="s">
        <v>181</v>
      </c>
      <c r="K5" s="5" t="s">
        <v>182</v>
      </c>
      <c r="L5" s="5">
        <v>2.5</v>
      </c>
      <c r="M5" s="5" t="s">
        <v>183</v>
      </c>
      <c r="N5" s="5" t="s">
        <v>184</v>
      </c>
      <c r="O5" s="5" t="s">
        <v>185</v>
      </c>
      <c r="P5" s="5" t="s">
        <v>157</v>
      </c>
    </row>
    <row r="6" spans="1:16" ht="45" x14ac:dyDescent="0.25">
      <c r="A6" s="5" t="s">
        <v>186</v>
      </c>
      <c r="B6" s="5" t="s">
        <v>35</v>
      </c>
      <c r="C6" s="5" t="s">
        <v>38</v>
      </c>
      <c r="D6" s="5" t="s">
        <v>187</v>
      </c>
      <c r="E6" s="5" t="s">
        <v>188</v>
      </c>
      <c r="F6" s="5" t="s">
        <v>189</v>
      </c>
      <c r="G6" s="5" t="s">
        <v>190</v>
      </c>
      <c r="H6" s="5" t="s">
        <v>179</v>
      </c>
      <c r="I6" s="5" t="s">
        <v>180</v>
      </c>
      <c r="J6" s="5" t="s">
        <v>191</v>
      </c>
      <c r="K6" s="5" t="s">
        <v>182</v>
      </c>
      <c r="L6" s="5">
        <v>200</v>
      </c>
      <c r="M6" s="5" t="s">
        <v>192</v>
      </c>
      <c r="N6" s="5" t="s">
        <v>193</v>
      </c>
      <c r="O6" s="5" t="s">
        <v>194</v>
      </c>
      <c r="P6" s="5" t="s">
        <v>157</v>
      </c>
    </row>
    <row r="7" spans="1:16" ht="30" x14ac:dyDescent="0.25">
      <c r="A7" s="5" t="s">
        <v>41</v>
      </c>
      <c r="B7" s="5" t="s">
        <v>35</v>
      </c>
      <c r="C7" s="5" t="s">
        <v>40</v>
      </c>
      <c r="D7" s="5" t="s">
        <v>195</v>
      </c>
      <c r="E7" s="5" t="s">
        <v>196</v>
      </c>
      <c r="F7" s="5" t="s">
        <v>197</v>
      </c>
      <c r="G7" s="5" t="s">
        <v>198</v>
      </c>
      <c r="H7" s="5" t="s">
        <v>179</v>
      </c>
      <c r="I7" s="5" t="s">
        <v>180</v>
      </c>
      <c r="J7" s="5" t="s">
        <v>199</v>
      </c>
      <c r="K7" s="5" t="s">
        <v>182</v>
      </c>
      <c r="L7" s="5">
        <v>1000</v>
      </c>
      <c r="M7" s="5" t="s">
        <v>200</v>
      </c>
      <c r="N7" s="5" t="s">
        <v>184</v>
      </c>
      <c r="O7" s="5" t="s">
        <v>185</v>
      </c>
      <c r="P7" s="5" t="s">
        <v>157</v>
      </c>
    </row>
    <row r="8" spans="1:16" ht="45" x14ac:dyDescent="0.25">
      <c r="A8" s="5" t="s">
        <v>50</v>
      </c>
      <c r="B8" s="5" t="s">
        <v>46</v>
      </c>
      <c r="C8" s="5" t="s">
        <v>49</v>
      </c>
      <c r="D8" s="5" t="s">
        <v>201</v>
      </c>
      <c r="E8" s="5" t="s">
        <v>202</v>
      </c>
      <c r="F8" s="5" t="s">
        <v>203</v>
      </c>
      <c r="G8" s="5" t="s">
        <v>201</v>
      </c>
      <c r="H8" s="5" t="s">
        <v>204</v>
      </c>
      <c r="I8" s="5" t="s">
        <v>151</v>
      </c>
      <c r="J8" s="5" t="s">
        <v>152</v>
      </c>
      <c r="K8" s="5" t="s">
        <v>153</v>
      </c>
      <c r="L8" s="5">
        <v>100</v>
      </c>
      <c r="M8" s="5" t="s">
        <v>205</v>
      </c>
      <c r="N8" s="5" t="s">
        <v>206</v>
      </c>
      <c r="O8" s="5" t="s">
        <v>173</v>
      </c>
      <c r="P8" s="5" t="s">
        <v>157</v>
      </c>
    </row>
    <row r="9" spans="1:16" ht="45" x14ac:dyDescent="0.25">
      <c r="A9" s="5" t="s">
        <v>57</v>
      </c>
      <c r="B9" s="5" t="s">
        <v>54</v>
      </c>
      <c r="C9" s="5" t="s">
        <v>56</v>
      </c>
      <c r="D9" s="5" t="s">
        <v>207</v>
      </c>
      <c r="E9" s="5" t="s">
        <v>208</v>
      </c>
      <c r="F9" s="5" t="s">
        <v>209</v>
      </c>
      <c r="G9" s="5" t="s">
        <v>210</v>
      </c>
      <c r="H9" s="5" t="s">
        <v>211</v>
      </c>
      <c r="I9" s="5" t="s">
        <v>151</v>
      </c>
      <c r="J9" s="5" t="s">
        <v>152</v>
      </c>
      <c r="K9" s="5" t="s">
        <v>153</v>
      </c>
      <c r="L9" s="5">
        <v>95</v>
      </c>
      <c r="M9" s="5" t="s">
        <v>212</v>
      </c>
      <c r="N9" s="5" t="s">
        <v>213</v>
      </c>
      <c r="O9" s="5" t="s">
        <v>173</v>
      </c>
      <c r="P9" s="5" t="s">
        <v>214</v>
      </c>
    </row>
    <row r="10" spans="1:16" ht="30" x14ac:dyDescent="0.25">
      <c r="A10" s="5" t="s">
        <v>59</v>
      </c>
      <c r="B10" s="5" t="s">
        <v>54</v>
      </c>
      <c r="C10" s="5" t="s">
        <v>58</v>
      </c>
      <c r="D10" s="5" t="s">
        <v>215</v>
      </c>
      <c r="E10" s="5" t="s">
        <v>216</v>
      </c>
      <c r="F10" s="5" t="s">
        <v>217</v>
      </c>
      <c r="G10" s="5" t="s">
        <v>218</v>
      </c>
      <c r="H10" s="5" t="s">
        <v>219</v>
      </c>
      <c r="I10" s="5" t="s">
        <v>151</v>
      </c>
      <c r="J10" s="5" t="s">
        <v>152</v>
      </c>
      <c r="K10" s="5" t="s">
        <v>153</v>
      </c>
      <c r="L10" s="5">
        <v>100</v>
      </c>
      <c r="M10" s="5" t="s">
        <v>220</v>
      </c>
      <c r="N10" s="5" t="s">
        <v>213</v>
      </c>
      <c r="O10" s="5" t="s">
        <v>173</v>
      </c>
      <c r="P10" s="5" t="s">
        <v>214</v>
      </c>
    </row>
    <row r="11" spans="1:16" ht="30" x14ac:dyDescent="0.25">
      <c r="A11" s="5" t="s">
        <v>61</v>
      </c>
      <c r="B11" s="5" t="s">
        <v>54</v>
      </c>
      <c r="C11" s="5" t="s">
        <v>60</v>
      </c>
      <c r="D11" s="5" t="s">
        <v>221</v>
      </c>
      <c r="E11" s="5" t="s">
        <v>222</v>
      </c>
      <c r="F11" s="5" t="s">
        <v>223</v>
      </c>
      <c r="G11" s="5" t="s">
        <v>224</v>
      </c>
      <c r="H11" s="5" t="s">
        <v>225</v>
      </c>
      <c r="I11" s="5" t="s">
        <v>151</v>
      </c>
      <c r="J11" s="5" t="s">
        <v>152</v>
      </c>
      <c r="K11" s="5" t="s">
        <v>153</v>
      </c>
      <c r="L11" s="5">
        <v>100</v>
      </c>
      <c r="M11" s="5" t="s">
        <v>212</v>
      </c>
      <c r="N11" s="5" t="s">
        <v>226</v>
      </c>
      <c r="O11" s="5" t="s">
        <v>227</v>
      </c>
      <c r="P11" s="5" t="s">
        <v>214</v>
      </c>
    </row>
    <row r="12" spans="1:16" ht="30" x14ac:dyDescent="0.25">
      <c r="A12" s="5" t="s">
        <v>63</v>
      </c>
      <c r="B12" s="5" t="s">
        <v>54</v>
      </c>
      <c r="C12" s="5" t="s">
        <v>62</v>
      </c>
      <c r="D12" s="5" t="s">
        <v>228</v>
      </c>
      <c r="E12" s="5" t="s">
        <v>229</v>
      </c>
      <c r="F12" s="5" t="s">
        <v>230</v>
      </c>
      <c r="G12" s="5" t="s">
        <v>231</v>
      </c>
      <c r="H12" s="5" t="s">
        <v>232</v>
      </c>
      <c r="I12" s="5" t="s">
        <v>151</v>
      </c>
      <c r="J12" s="5" t="s">
        <v>152</v>
      </c>
      <c r="K12" s="5" t="s">
        <v>153</v>
      </c>
      <c r="L12" s="5">
        <v>100</v>
      </c>
      <c r="M12" s="5" t="s">
        <v>233</v>
      </c>
      <c r="N12" s="5" t="s">
        <v>213</v>
      </c>
      <c r="O12" s="5" t="s">
        <v>173</v>
      </c>
      <c r="P12" s="5" t="s">
        <v>214</v>
      </c>
    </row>
    <row r="13" spans="1:16" ht="45" x14ac:dyDescent="0.25">
      <c r="A13" s="5" t="s">
        <v>73</v>
      </c>
      <c r="B13" s="5" t="s">
        <v>70</v>
      </c>
      <c r="C13" s="5" t="s">
        <v>72</v>
      </c>
      <c r="D13" s="5" t="s">
        <v>234</v>
      </c>
      <c r="E13" s="5" t="s">
        <v>235</v>
      </c>
      <c r="F13" s="5" t="s">
        <v>236</v>
      </c>
      <c r="G13" s="5" t="s">
        <v>237</v>
      </c>
      <c r="H13" s="5" t="s">
        <v>238</v>
      </c>
      <c r="I13" s="5" t="s">
        <v>151</v>
      </c>
      <c r="J13" s="5" t="s">
        <v>152</v>
      </c>
      <c r="K13" s="5" t="s">
        <v>153</v>
      </c>
      <c r="L13" s="5">
        <v>100</v>
      </c>
      <c r="M13" s="5" t="s">
        <v>239</v>
      </c>
      <c r="N13" s="5" t="s">
        <v>240</v>
      </c>
      <c r="O13" s="5" t="s">
        <v>241</v>
      </c>
      <c r="P13" s="5" t="s">
        <v>214</v>
      </c>
    </row>
    <row r="14" spans="1:16" ht="30" x14ac:dyDescent="0.25">
      <c r="A14" s="5" t="s">
        <v>75</v>
      </c>
      <c r="B14" s="5" t="s">
        <v>70</v>
      </c>
      <c r="C14" s="5" t="s">
        <v>74</v>
      </c>
      <c r="D14" s="5" t="s">
        <v>242</v>
      </c>
      <c r="E14" s="5" t="s">
        <v>243</v>
      </c>
      <c r="F14" s="5" t="s">
        <v>244</v>
      </c>
      <c r="G14" s="5" t="s">
        <v>245</v>
      </c>
      <c r="H14" s="5" t="s">
        <v>246</v>
      </c>
      <c r="I14" s="5" t="s">
        <v>151</v>
      </c>
      <c r="J14" s="5" t="s">
        <v>152</v>
      </c>
      <c r="K14" s="5" t="s">
        <v>153</v>
      </c>
      <c r="L14" s="5">
        <v>99</v>
      </c>
      <c r="M14" s="5" t="s">
        <v>247</v>
      </c>
      <c r="N14" s="5" t="s">
        <v>248</v>
      </c>
      <c r="O14" s="5" t="s">
        <v>249</v>
      </c>
      <c r="P14" s="5" t="s">
        <v>214</v>
      </c>
    </row>
    <row r="15" spans="1:16" ht="45" x14ac:dyDescent="0.25">
      <c r="A15" s="5" t="s">
        <v>77</v>
      </c>
      <c r="B15" s="5" t="s">
        <v>70</v>
      </c>
      <c r="C15" s="5" t="s">
        <v>76</v>
      </c>
      <c r="D15" s="5" t="s">
        <v>250</v>
      </c>
      <c r="E15" s="5" t="s">
        <v>251</v>
      </c>
      <c r="F15" s="5" t="s">
        <v>252</v>
      </c>
      <c r="G15" s="5" t="s">
        <v>253</v>
      </c>
      <c r="H15" s="5" t="s">
        <v>254</v>
      </c>
      <c r="I15" s="5" t="s">
        <v>151</v>
      </c>
      <c r="J15" s="5" t="s">
        <v>152</v>
      </c>
      <c r="K15" s="5" t="s">
        <v>153</v>
      </c>
      <c r="L15" s="5">
        <v>100</v>
      </c>
      <c r="M15" s="5" t="s">
        <v>239</v>
      </c>
      <c r="N15" s="5" t="s">
        <v>255</v>
      </c>
      <c r="O15" s="5" t="s">
        <v>256</v>
      </c>
      <c r="P15" s="5" t="s">
        <v>214</v>
      </c>
    </row>
    <row r="16" spans="1:16" ht="30" x14ac:dyDescent="0.25">
      <c r="A16" s="5" t="s">
        <v>79</v>
      </c>
      <c r="B16" s="5" t="s">
        <v>70</v>
      </c>
      <c r="C16" s="5" t="s">
        <v>78</v>
      </c>
      <c r="D16" s="5" t="s">
        <v>257</v>
      </c>
      <c r="E16" s="5" t="s">
        <v>258</v>
      </c>
      <c r="F16" s="5" t="s">
        <v>259</v>
      </c>
      <c r="G16" s="5" t="s">
        <v>260</v>
      </c>
      <c r="H16" s="5" t="s">
        <v>261</v>
      </c>
      <c r="I16" s="5" t="s">
        <v>151</v>
      </c>
      <c r="J16" s="5" t="s">
        <v>152</v>
      </c>
      <c r="K16" s="5" t="s">
        <v>153</v>
      </c>
      <c r="L16" s="5">
        <v>100</v>
      </c>
      <c r="M16" s="5" t="s">
        <v>239</v>
      </c>
      <c r="N16" s="5" t="s">
        <v>255</v>
      </c>
      <c r="O16" s="5" t="s">
        <v>173</v>
      </c>
      <c r="P16" s="5" t="s">
        <v>214</v>
      </c>
    </row>
    <row r="17" spans="1:16" ht="45" x14ac:dyDescent="0.25">
      <c r="A17" s="5" t="s">
        <v>84</v>
      </c>
      <c r="B17" s="5" t="s">
        <v>81</v>
      </c>
      <c r="C17" s="5" t="s">
        <v>83</v>
      </c>
      <c r="D17" s="5" t="s">
        <v>262</v>
      </c>
      <c r="E17" s="5" t="s">
        <v>263</v>
      </c>
      <c r="F17" s="5" t="s">
        <v>264</v>
      </c>
      <c r="G17" s="5" t="s">
        <v>265</v>
      </c>
      <c r="H17" s="5" t="s">
        <v>266</v>
      </c>
      <c r="I17" s="5" t="s">
        <v>151</v>
      </c>
      <c r="J17" s="5" t="s">
        <v>152</v>
      </c>
      <c r="K17" s="5" t="s">
        <v>153</v>
      </c>
      <c r="L17" s="5">
        <v>100</v>
      </c>
      <c r="M17" s="5" t="s">
        <v>267</v>
      </c>
      <c r="N17" s="5" t="s">
        <v>268</v>
      </c>
      <c r="O17" s="5" t="s">
        <v>269</v>
      </c>
      <c r="P17" s="5" t="s">
        <v>214</v>
      </c>
    </row>
    <row r="18" spans="1:16" ht="45" x14ac:dyDescent="0.25">
      <c r="A18" s="5" t="s">
        <v>86</v>
      </c>
      <c r="B18" s="5" t="s">
        <v>81</v>
      </c>
      <c r="C18" s="5" t="s">
        <v>85</v>
      </c>
      <c r="D18" s="5" t="s">
        <v>270</v>
      </c>
      <c r="E18" s="5" t="s">
        <v>271</v>
      </c>
      <c r="F18" s="5" t="s">
        <v>272</v>
      </c>
      <c r="G18" s="5" t="s">
        <v>273</v>
      </c>
      <c r="H18" s="5" t="s">
        <v>274</v>
      </c>
      <c r="I18" s="5" t="s">
        <v>151</v>
      </c>
      <c r="J18" s="5" t="s">
        <v>152</v>
      </c>
      <c r="K18" s="5" t="s">
        <v>153</v>
      </c>
      <c r="L18" s="5">
        <v>100</v>
      </c>
      <c r="M18" s="5" t="s">
        <v>275</v>
      </c>
      <c r="N18" s="5" t="s">
        <v>268</v>
      </c>
      <c r="O18" s="5" t="s">
        <v>276</v>
      </c>
      <c r="P18" s="5" t="s">
        <v>214</v>
      </c>
    </row>
    <row r="19" spans="1:16" ht="60" x14ac:dyDescent="0.25">
      <c r="A19" s="5" t="s">
        <v>88</v>
      </c>
      <c r="B19" s="5" t="s">
        <v>81</v>
      </c>
      <c r="C19" s="5" t="s">
        <v>87</v>
      </c>
      <c r="D19" s="5" t="s">
        <v>277</v>
      </c>
      <c r="E19" s="5" t="s">
        <v>278</v>
      </c>
      <c r="F19" s="5" t="s">
        <v>279</v>
      </c>
      <c r="G19" s="5" t="s">
        <v>280</v>
      </c>
      <c r="H19" s="5" t="s">
        <v>281</v>
      </c>
      <c r="I19" s="5" t="s">
        <v>151</v>
      </c>
      <c r="J19" s="5" t="s">
        <v>152</v>
      </c>
      <c r="K19" s="5" t="s">
        <v>153</v>
      </c>
      <c r="L19" s="5">
        <v>85</v>
      </c>
      <c r="M19" s="5" t="s">
        <v>282</v>
      </c>
      <c r="N19" s="5" t="s">
        <v>268</v>
      </c>
      <c r="O19" s="5" t="s">
        <v>249</v>
      </c>
      <c r="P19" s="5" t="s">
        <v>214</v>
      </c>
    </row>
    <row r="20" spans="1:16" ht="30" x14ac:dyDescent="0.25">
      <c r="A20" s="5" t="s">
        <v>99</v>
      </c>
      <c r="B20" s="5" t="s">
        <v>96</v>
      </c>
      <c r="C20" s="5" t="s">
        <v>98</v>
      </c>
      <c r="D20" s="5" t="s">
        <v>283</v>
      </c>
      <c r="E20" s="5" t="s">
        <v>284</v>
      </c>
      <c r="F20" s="5" t="s">
        <v>285</v>
      </c>
      <c r="G20" s="5" t="s">
        <v>286</v>
      </c>
      <c r="H20" s="5" t="s">
        <v>287</v>
      </c>
      <c r="I20" s="5" t="s">
        <v>151</v>
      </c>
      <c r="J20" s="5" t="s">
        <v>152</v>
      </c>
      <c r="K20" s="5" t="s">
        <v>153</v>
      </c>
      <c r="L20" s="5">
        <v>90</v>
      </c>
      <c r="M20" s="5" t="s">
        <v>288</v>
      </c>
      <c r="N20" s="5" t="s">
        <v>289</v>
      </c>
      <c r="O20" s="5" t="s">
        <v>290</v>
      </c>
      <c r="P20" s="5" t="s">
        <v>157</v>
      </c>
    </row>
    <row r="21" spans="1:16" ht="30" x14ac:dyDescent="0.25">
      <c r="A21" s="5" t="s">
        <v>101</v>
      </c>
      <c r="B21" s="5" t="s">
        <v>96</v>
      </c>
      <c r="C21" s="5" t="s">
        <v>100</v>
      </c>
      <c r="D21" s="5" t="s">
        <v>291</v>
      </c>
      <c r="E21" s="5" t="s">
        <v>292</v>
      </c>
      <c r="F21" s="5" t="s">
        <v>293</v>
      </c>
      <c r="G21" s="5" t="s">
        <v>294</v>
      </c>
      <c r="H21" s="5" t="s">
        <v>179</v>
      </c>
      <c r="I21" s="5" t="s">
        <v>180</v>
      </c>
      <c r="J21" s="5" t="s">
        <v>295</v>
      </c>
      <c r="K21" s="5" t="s">
        <v>182</v>
      </c>
      <c r="L21" s="5">
        <v>2</v>
      </c>
      <c r="M21" s="5" t="s">
        <v>288</v>
      </c>
      <c r="N21" s="5" t="s">
        <v>289</v>
      </c>
      <c r="O21" s="5" t="s">
        <v>296</v>
      </c>
      <c r="P21" s="5" t="s">
        <v>157</v>
      </c>
    </row>
    <row r="22" spans="1:16" ht="30" x14ac:dyDescent="0.25">
      <c r="A22" s="5" t="s">
        <v>103</v>
      </c>
      <c r="B22" s="5" t="s">
        <v>96</v>
      </c>
      <c r="C22" s="5" t="s">
        <v>102</v>
      </c>
      <c r="D22" s="5" t="s">
        <v>297</v>
      </c>
      <c r="E22" s="5" t="s">
        <v>298</v>
      </c>
      <c r="F22" s="5" t="s">
        <v>299</v>
      </c>
      <c r="G22" s="5" t="s">
        <v>297</v>
      </c>
      <c r="H22" s="5" t="s">
        <v>300</v>
      </c>
      <c r="I22" s="5" t="s">
        <v>151</v>
      </c>
      <c r="J22" s="5" t="s">
        <v>152</v>
      </c>
      <c r="K22" s="5" t="s">
        <v>153</v>
      </c>
      <c r="L22" s="5">
        <v>90</v>
      </c>
      <c r="M22" s="5" t="s">
        <v>301</v>
      </c>
      <c r="N22" s="5" t="s">
        <v>302</v>
      </c>
      <c r="O22" s="5" t="s">
        <v>303</v>
      </c>
      <c r="P22" s="5" t="s">
        <v>157</v>
      </c>
    </row>
    <row r="23" spans="1:16" ht="45" x14ac:dyDescent="0.25">
      <c r="A23" s="5" t="s">
        <v>112</v>
      </c>
      <c r="B23" s="5" t="s">
        <v>109</v>
      </c>
      <c r="C23" s="5" t="s">
        <v>111</v>
      </c>
      <c r="D23" s="5" t="s">
        <v>304</v>
      </c>
      <c r="E23" s="5" t="s">
        <v>305</v>
      </c>
      <c r="F23" s="5" t="s">
        <v>306</v>
      </c>
      <c r="G23" s="5" t="s">
        <v>307</v>
      </c>
      <c r="H23" s="5" t="s">
        <v>308</v>
      </c>
      <c r="I23" s="5" t="s">
        <v>151</v>
      </c>
      <c r="J23" s="5" t="s">
        <v>152</v>
      </c>
      <c r="K23" s="5" t="s">
        <v>153</v>
      </c>
      <c r="L23" s="5">
        <v>100</v>
      </c>
      <c r="M23" s="5" t="s">
        <v>309</v>
      </c>
      <c r="N23" s="5" t="s">
        <v>240</v>
      </c>
      <c r="O23" s="5" t="s">
        <v>173</v>
      </c>
      <c r="P23" s="5" t="s">
        <v>157</v>
      </c>
    </row>
    <row r="24" spans="1:16" ht="30" x14ac:dyDescent="0.25">
      <c r="A24" s="5" t="s">
        <v>123</v>
      </c>
      <c r="B24" s="5" t="s">
        <v>120</v>
      </c>
      <c r="C24" s="5" t="s">
        <v>122</v>
      </c>
      <c r="D24" s="5" t="s">
        <v>310</v>
      </c>
      <c r="E24" s="5" t="s">
        <v>311</v>
      </c>
      <c r="F24" s="5" t="s">
        <v>312</v>
      </c>
      <c r="G24" s="5" t="s">
        <v>313</v>
      </c>
      <c r="H24" s="5" t="s">
        <v>314</v>
      </c>
      <c r="I24" s="5" t="s">
        <v>151</v>
      </c>
      <c r="J24" s="5" t="s">
        <v>152</v>
      </c>
      <c r="K24" s="5" t="s">
        <v>153</v>
      </c>
      <c r="L24" s="5">
        <v>100</v>
      </c>
      <c r="M24" s="5" t="s">
        <v>315</v>
      </c>
      <c r="N24" s="5" t="s">
        <v>213</v>
      </c>
      <c r="O24" s="5" t="s">
        <v>173</v>
      </c>
      <c r="P24" s="5" t="s">
        <v>214</v>
      </c>
    </row>
    <row r="25" spans="1:16" ht="30" x14ac:dyDescent="0.25">
      <c r="A25" s="5" t="s">
        <v>125</v>
      </c>
      <c r="B25" s="5" t="s">
        <v>120</v>
      </c>
      <c r="C25" s="5" t="s">
        <v>124</v>
      </c>
      <c r="D25" s="5" t="s">
        <v>316</v>
      </c>
      <c r="E25" s="5" t="s">
        <v>317</v>
      </c>
      <c r="F25" s="5" t="s">
        <v>318</v>
      </c>
      <c r="G25" s="5" t="s">
        <v>319</v>
      </c>
      <c r="H25" s="5" t="s">
        <v>261</v>
      </c>
      <c r="I25" s="5" t="s">
        <v>151</v>
      </c>
      <c r="J25" s="5" t="s">
        <v>152</v>
      </c>
      <c r="K25" s="5" t="s">
        <v>153</v>
      </c>
      <c r="L25" s="5">
        <v>100</v>
      </c>
      <c r="M25" s="5" t="s">
        <v>315</v>
      </c>
      <c r="N25" s="5" t="s">
        <v>255</v>
      </c>
      <c r="O25" s="5" t="s">
        <v>173</v>
      </c>
      <c r="P25" s="5" t="s">
        <v>214</v>
      </c>
    </row>
    <row r="26" spans="1:16" ht="75" x14ac:dyDescent="0.25">
      <c r="A26" s="5" t="s">
        <v>127</v>
      </c>
      <c r="B26" s="5" t="s">
        <v>120</v>
      </c>
      <c r="C26" s="5" t="s">
        <v>126</v>
      </c>
      <c r="D26" s="5" t="s">
        <v>320</v>
      </c>
      <c r="E26" s="5" t="s">
        <v>321</v>
      </c>
      <c r="F26" s="5" t="s">
        <v>322</v>
      </c>
      <c r="G26" s="5" t="s">
        <v>323</v>
      </c>
      <c r="H26" s="5" t="s">
        <v>324</v>
      </c>
      <c r="I26" s="5" t="s">
        <v>151</v>
      </c>
      <c r="J26" s="5" t="s">
        <v>152</v>
      </c>
      <c r="K26" s="5" t="s">
        <v>153</v>
      </c>
      <c r="L26" s="5">
        <v>100</v>
      </c>
      <c r="M26" s="5" t="s">
        <v>315</v>
      </c>
      <c r="N26" s="5" t="s">
        <v>213</v>
      </c>
      <c r="O26" s="5" t="s">
        <v>173</v>
      </c>
      <c r="P26" s="5" t="s">
        <v>214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226"/>
  <sheetViews>
    <sheetView zoomScale="90" workbookViewId="0">
      <pane ySplit="1" topLeftCell="A2" activePane="bottomLeft" state="frozen"/>
      <selection pane="bottomLeft"/>
    </sheetView>
  </sheetViews>
  <sheetFormatPr baseColWidth="10" defaultColWidth="9.140625" defaultRowHeight="15" x14ac:dyDescent="0.25"/>
  <cols>
    <col min="1" max="1" width="9" customWidth="1"/>
    <col min="2" max="2" width="18" customWidth="1"/>
    <col min="3" max="3" width="20" customWidth="1"/>
    <col min="4" max="4" width="12" customWidth="1"/>
    <col min="5" max="5" width="30" customWidth="1"/>
    <col min="6" max="6" width="7" customWidth="1"/>
    <col min="7" max="7" width="9" customWidth="1"/>
    <col min="8" max="8" width="18" customWidth="1"/>
    <col min="9" max="10" width="30" customWidth="1"/>
    <col min="11" max="11" width="10" customWidth="1"/>
    <col min="12" max="13" width="9" customWidth="1"/>
    <col min="14" max="14" width="14" customWidth="1"/>
    <col min="15" max="15" width="11" customWidth="1"/>
    <col min="16" max="16" width="9" customWidth="1"/>
    <col min="17" max="18" width="8" customWidth="1"/>
    <col min="19" max="19" width="12" customWidth="1"/>
    <col min="20" max="20" width="9" customWidth="1"/>
    <col min="21" max="21" width="20" customWidth="1"/>
    <col min="22" max="22" width="38" customWidth="1"/>
    <col min="23" max="23" width="24" customWidth="1"/>
    <col min="24" max="24" width="12" customWidth="1"/>
    <col min="25" max="26" width="26" customWidth="1"/>
  </cols>
  <sheetData>
    <row r="1" spans="1:26" ht="33.950000000000003" customHeight="1" x14ac:dyDescent="0.25">
      <c r="A1" s="4" t="s">
        <v>325</v>
      </c>
      <c r="B1" s="4" t="s">
        <v>17</v>
      </c>
      <c r="C1" s="4" t="s">
        <v>20</v>
      </c>
      <c r="D1" s="4" t="s">
        <v>142</v>
      </c>
      <c r="E1" s="4" t="s">
        <v>326</v>
      </c>
      <c r="F1" s="4" t="s">
        <v>327</v>
      </c>
      <c r="G1" s="4" t="s">
        <v>328</v>
      </c>
      <c r="H1" s="4" t="s">
        <v>329</v>
      </c>
      <c r="I1" s="4" t="s">
        <v>330</v>
      </c>
      <c r="J1" s="4" t="s">
        <v>331</v>
      </c>
      <c r="K1" s="4" t="s">
        <v>332</v>
      </c>
      <c r="L1" s="4" t="s">
        <v>136</v>
      </c>
      <c r="M1" s="4" t="s">
        <v>137</v>
      </c>
      <c r="N1" s="4" t="s">
        <v>333</v>
      </c>
      <c r="O1" s="4" t="s">
        <v>334</v>
      </c>
      <c r="P1" s="4" t="s">
        <v>139</v>
      </c>
      <c r="Q1" s="4" t="s">
        <v>140</v>
      </c>
      <c r="R1" s="4" t="s">
        <v>141</v>
      </c>
      <c r="S1" s="4" t="s">
        <v>21</v>
      </c>
      <c r="T1" s="4" t="s">
        <v>335</v>
      </c>
      <c r="U1" s="4" t="s">
        <v>336</v>
      </c>
      <c r="V1" s="4" t="s">
        <v>337</v>
      </c>
      <c r="W1" s="4" t="s">
        <v>145</v>
      </c>
      <c r="X1" s="4" t="s">
        <v>338</v>
      </c>
      <c r="Y1" s="4" t="s">
        <v>339</v>
      </c>
      <c r="Z1" s="4" t="s">
        <v>340</v>
      </c>
    </row>
    <row r="2" spans="1:26" ht="90" x14ac:dyDescent="0.25">
      <c r="A2" s="5" t="s">
        <v>29</v>
      </c>
      <c r="B2" s="5" t="s">
        <v>24</v>
      </c>
      <c r="C2" s="5" t="s">
        <v>27</v>
      </c>
      <c r="D2" s="5" t="s">
        <v>154</v>
      </c>
      <c r="E2" s="5" t="s">
        <v>155</v>
      </c>
      <c r="F2" s="5" t="s">
        <v>341</v>
      </c>
      <c r="G2" s="5" t="s">
        <v>342</v>
      </c>
      <c r="H2" s="5" t="s">
        <v>343</v>
      </c>
      <c r="I2" s="5" t="s">
        <v>344</v>
      </c>
      <c r="J2" s="5" t="s">
        <v>345</v>
      </c>
      <c r="K2" s="5" t="s">
        <v>346</v>
      </c>
      <c r="L2" s="5">
        <v>14</v>
      </c>
      <c r="M2" s="5">
        <v>15</v>
      </c>
      <c r="N2" s="5" t="s">
        <v>347</v>
      </c>
      <c r="O2" s="5">
        <f t="shared" ref="O2:O65" si="0">IF(L2="","",IF(K2="proporcion",ROUND(L2/M2*100,2),L2))</f>
        <v>93.33</v>
      </c>
      <c r="P2" s="5" t="s">
        <v>152</v>
      </c>
      <c r="Q2" s="5" t="s">
        <v>153</v>
      </c>
      <c r="R2" s="5">
        <v>95</v>
      </c>
      <c r="S2" s="5" t="str">
        <f t="shared" ref="S2:S65" si="1">IF(O2="","Pendiente",IF(Q2="mayor",IF(O2&gt;=R2,"Aprobado","Rechazado"),IF(O2&lt;=R2,"Aprobado","Rechazado")))</f>
        <v>Rechazado</v>
      </c>
      <c r="T2" s="5">
        <f t="shared" ref="T2:T65" si="2">IF(O2="","",IF(K2="proporcion",O2,MIN(100,ROUND(100*R2/MAX(O2,0.000001),2))))</f>
        <v>93.33</v>
      </c>
      <c r="U2" s="5" t="str">
        <f t="shared" ref="U2:U65" si="3">IF(T2="","",IF(T2&lt;40,"No aceptable",IF(T2&lt;60,"Mínimamente aceptable",IF(T2&lt;90,"Rango objetivo","Supera los requisitos"))))</f>
        <v>Supera los requisitos</v>
      </c>
      <c r="V2" s="5" t="s">
        <v>348</v>
      </c>
      <c r="W2" s="5" t="s">
        <v>157</v>
      </c>
      <c r="X2" s="5" t="s">
        <v>349</v>
      </c>
      <c r="Y2" s="5" t="s">
        <v>350</v>
      </c>
      <c r="Z2" s="5"/>
    </row>
    <row r="3" spans="1:26" ht="90" x14ac:dyDescent="0.25">
      <c r="A3" s="5" t="s">
        <v>29</v>
      </c>
      <c r="B3" s="5" t="s">
        <v>24</v>
      </c>
      <c r="C3" s="5" t="s">
        <v>27</v>
      </c>
      <c r="D3" s="5" t="s">
        <v>154</v>
      </c>
      <c r="E3" s="5" t="s">
        <v>155</v>
      </c>
      <c r="F3" s="5" t="s">
        <v>351</v>
      </c>
      <c r="G3" s="5" t="s">
        <v>352</v>
      </c>
      <c r="H3" s="5" t="s">
        <v>353</v>
      </c>
      <c r="I3" s="5" t="s">
        <v>344</v>
      </c>
      <c r="J3" s="5" t="s">
        <v>345</v>
      </c>
      <c r="K3" s="5" t="s">
        <v>346</v>
      </c>
      <c r="L3" s="5">
        <v>15</v>
      </c>
      <c r="M3" s="5">
        <v>15</v>
      </c>
      <c r="N3" s="5" t="s">
        <v>347</v>
      </c>
      <c r="O3" s="5">
        <f t="shared" si="0"/>
        <v>100</v>
      </c>
      <c r="P3" s="5" t="s">
        <v>152</v>
      </c>
      <c r="Q3" s="5" t="s">
        <v>153</v>
      </c>
      <c r="R3" s="5">
        <v>95</v>
      </c>
      <c r="S3" s="5" t="str">
        <f t="shared" si="1"/>
        <v>Aprobado</v>
      </c>
      <c r="T3" s="5">
        <f t="shared" si="2"/>
        <v>100</v>
      </c>
      <c r="U3" s="5" t="str">
        <f t="shared" si="3"/>
        <v>Supera los requisitos</v>
      </c>
      <c r="V3" s="5" t="s">
        <v>354</v>
      </c>
      <c r="W3" s="5" t="s">
        <v>157</v>
      </c>
      <c r="X3" s="5"/>
      <c r="Y3" s="5" t="s">
        <v>355</v>
      </c>
      <c r="Z3" s="5"/>
    </row>
    <row r="4" spans="1:26" ht="90" x14ac:dyDescent="0.25">
      <c r="A4" s="5" t="s">
        <v>29</v>
      </c>
      <c r="B4" s="5" t="s">
        <v>24</v>
      </c>
      <c r="C4" s="5" t="s">
        <v>27</v>
      </c>
      <c r="D4" s="5" t="s">
        <v>154</v>
      </c>
      <c r="E4" s="5" t="s">
        <v>155</v>
      </c>
      <c r="F4" s="5" t="s">
        <v>356</v>
      </c>
      <c r="G4" s="5" t="s">
        <v>357</v>
      </c>
      <c r="H4" s="5" t="s">
        <v>358</v>
      </c>
      <c r="I4" s="5" t="s">
        <v>344</v>
      </c>
      <c r="J4" s="5" t="s">
        <v>345</v>
      </c>
      <c r="K4" s="5" t="s">
        <v>346</v>
      </c>
      <c r="L4" s="5">
        <v>15</v>
      </c>
      <c r="M4" s="5">
        <v>15</v>
      </c>
      <c r="N4" s="5" t="s">
        <v>347</v>
      </c>
      <c r="O4" s="5">
        <f t="shared" si="0"/>
        <v>100</v>
      </c>
      <c r="P4" s="5" t="s">
        <v>152</v>
      </c>
      <c r="Q4" s="5" t="s">
        <v>153</v>
      </c>
      <c r="R4" s="5">
        <v>95</v>
      </c>
      <c r="S4" s="5" t="str">
        <f t="shared" si="1"/>
        <v>Aprobado</v>
      </c>
      <c r="T4" s="5">
        <f t="shared" si="2"/>
        <v>100</v>
      </c>
      <c r="U4" s="5" t="str">
        <f t="shared" si="3"/>
        <v>Supera los requisitos</v>
      </c>
      <c r="V4" s="5" t="s">
        <v>359</v>
      </c>
      <c r="W4" s="5" t="s">
        <v>157</v>
      </c>
      <c r="X4" s="5"/>
      <c r="Y4" s="5" t="s">
        <v>355</v>
      </c>
      <c r="Z4" s="5"/>
    </row>
    <row r="5" spans="1:26" ht="90" x14ac:dyDescent="0.25">
      <c r="A5" s="5" t="s">
        <v>29</v>
      </c>
      <c r="B5" s="5" t="s">
        <v>24</v>
      </c>
      <c r="C5" s="5" t="s">
        <v>27</v>
      </c>
      <c r="D5" s="5" t="s">
        <v>154</v>
      </c>
      <c r="E5" s="5" t="s">
        <v>155</v>
      </c>
      <c r="F5" s="5" t="s">
        <v>360</v>
      </c>
      <c r="G5" s="5" t="s">
        <v>361</v>
      </c>
      <c r="H5" s="5" t="s">
        <v>362</v>
      </c>
      <c r="I5" s="5" t="s">
        <v>344</v>
      </c>
      <c r="J5" s="5" t="s">
        <v>345</v>
      </c>
      <c r="K5" s="5" t="s">
        <v>346</v>
      </c>
      <c r="L5" s="5">
        <v>15</v>
      </c>
      <c r="M5" s="5">
        <v>15</v>
      </c>
      <c r="N5" s="5" t="s">
        <v>347</v>
      </c>
      <c r="O5" s="5">
        <f t="shared" si="0"/>
        <v>100</v>
      </c>
      <c r="P5" s="5" t="s">
        <v>152</v>
      </c>
      <c r="Q5" s="5" t="s">
        <v>153</v>
      </c>
      <c r="R5" s="5">
        <v>95</v>
      </c>
      <c r="S5" s="5" t="str">
        <f t="shared" si="1"/>
        <v>Aprobado</v>
      </c>
      <c r="T5" s="5">
        <f t="shared" si="2"/>
        <v>100</v>
      </c>
      <c r="U5" s="5" t="str">
        <f t="shared" si="3"/>
        <v>Supera los requisitos</v>
      </c>
      <c r="V5" s="5" t="s">
        <v>363</v>
      </c>
      <c r="W5" s="5" t="s">
        <v>157</v>
      </c>
      <c r="X5" s="5"/>
      <c r="Y5" s="5" t="s">
        <v>355</v>
      </c>
      <c r="Z5" s="5"/>
    </row>
    <row r="6" spans="1:26" ht="90" x14ac:dyDescent="0.25">
      <c r="A6" s="5" t="s">
        <v>29</v>
      </c>
      <c r="B6" s="5" t="s">
        <v>24</v>
      </c>
      <c r="C6" s="5" t="s">
        <v>27</v>
      </c>
      <c r="D6" s="5" t="s">
        <v>154</v>
      </c>
      <c r="E6" s="5" t="s">
        <v>155</v>
      </c>
      <c r="F6" s="5" t="s">
        <v>364</v>
      </c>
      <c r="G6" s="5" t="s">
        <v>365</v>
      </c>
      <c r="H6" s="5" t="s">
        <v>366</v>
      </c>
      <c r="I6" s="5" t="s">
        <v>344</v>
      </c>
      <c r="J6" s="5" t="s">
        <v>345</v>
      </c>
      <c r="K6" s="5" t="s">
        <v>346</v>
      </c>
      <c r="L6" s="5">
        <v>15</v>
      </c>
      <c r="M6" s="5">
        <v>15</v>
      </c>
      <c r="N6" s="5" t="s">
        <v>347</v>
      </c>
      <c r="O6" s="5">
        <f t="shared" si="0"/>
        <v>100</v>
      </c>
      <c r="P6" s="5" t="s">
        <v>152</v>
      </c>
      <c r="Q6" s="5" t="s">
        <v>153</v>
      </c>
      <c r="R6" s="5">
        <v>95</v>
      </c>
      <c r="S6" s="5" t="str">
        <f t="shared" si="1"/>
        <v>Aprobado</v>
      </c>
      <c r="T6" s="5">
        <f t="shared" si="2"/>
        <v>100</v>
      </c>
      <c r="U6" s="5" t="str">
        <f t="shared" si="3"/>
        <v>Supera los requisitos</v>
      </c>
      <c r="V6" s="5" t="s">
        <v>367</v>
      </c>
      <c r="W6" s="5" t="s">
        <v>157</v>
      </c>
      <c r="X6" s="5"/>
      <c r="Y6" s="5" t="s">
        <v>355</v>
      </c>
      <c r="Z6" s="5"/>
    </row>
    <row r="7" spans="1:26" ht="90" x14ac:dyDescent="0.25">
      <c r="A7" s="5" t="s">
        <v>29</v>
      </c>
      <c r="B7" s="5" t="s">
        <v>24</v>
      </c>
      <c r="C7" s="5" t="s">
        <v>27</v>
      </c>
      <c r="D7" s="5" t="s">
        <v>154</v>
      </c>
      <c r="E7" s="5" t="s">
        <v>155</v>
      </c>
      <c r="F7" s="5" t="s">
        <v>368</v>
      </c>
      <c r="G7" s="5" t="s">
        <v>369</v>
      </c>
      <c r="H7" s="5" t="s">
        <v>370</v>
      </c>
      <c r="I7" s="5" t="s">
        <v>344</v>
      </c>
      <c r="J7" s="5" t="s">
        <v>345</v>
      </c>
      <c r="K7" s="5" t="s">
        <v>346</v>
      </c>
      <c r="L7" s="5">
        <v>15</v>
      </c>
      <c r="M7" s="5">
        <v>15</v>
      </c>
      <c r="N7" s="5" t="s">
        <v>347</v>
      </c>
      <c r="O7" s="5">
        <f t="shared" si="0"/>
        <v>100</v>
      </c>
      <c r="P7" s="5" t="s">
        <v>152</v>
      </c>
      <c r="Q7" s="5" t="s">
        <v>153</v>
      </c>
      <c r="R7" s="5">
        <v>95</v>
      </c>
      <c r="S7" s="5" t="str">
        <f t="shared" si="1"/>
        <v>Aprobado</v>
      </c>
      <c r="T7" s="5">
        <f t="shared" si="2"/>
        <v>100</v>
      </c>
      <c r="U7" s="5" t="str">
        <f t="shared" si="3"/>
        <v>Supera los requisitos</v>
      </c>
      <c r="V7" s="5" t="s">
        <v>371</v>
      </c>
      <c r="W7" s="5" t="s">
        <v>157</v>
      </c>
      <c r="X7" s="5"/>
      <c r="Y7" s="5" t="s">
        <v>355</v>
      </c>
      <c r="Z7" s="5"/>
    </row>
    <row r="8" spans="1:26" ht="240" x14ac:dyDescent="0.25">
      <c r="A8" s="5" t="s">
        <v>29</v>
      </c>
      <c r="B8" s="5" t="s">
        <v>24</v>
      </c>
      <c r="C8" s="5" t="s">
        <v>27</v>
      </c>
      <c r="D8" s="5" t="s">
        <v>154</v>
      </c>
      <c r="E8" s="5" t="s">
        <v>155</v>
      </c>
      <c r="F8" s="5" t="s">
        <v>372</v>
      </c>
      <c r="G8" s="5" t="s">
        <v>373</v>
      </c>
      <c r="H8" s="5" t="s">
        <v>374</v>
      </c>
      <c r="I8" s="5" t="s">
        <v>344</v>
      </c>
      <c r="J8" s="5" t="s">
        <v>345</v>
      </c>
      <c r="K8" s="5" t="s">
        <v>346</v>
      </c>
      <c r="L8" s="5">
        <v>15</v>
      </c>
      <c r="M8" s="5">
        <v>15</v>
      </c>
      <c r="N8" s="5" t="s">
        <v>347</v>
      </c>
      <c r="O8" s="5">
        <f t="shared" si="0"/>
        <v>100</v>
      </c>
      <c r="P8" s="5" t="s">
        <v>152</v>
      </c>
      <c r="Q8" s="5" t="s">
        <v>153</v>
      </c>
      <c r="R8" s="5">
        <v>95</v>
      </c>
      <c r="S8" s="5" t="str">
        <f t="shared" si="1"/>
        <v>Aprobado</v>
      </c>
      <c r="T8" s="5">
        <f t="shared" si="2"/>
        <v>100</v>
      </c>
      <c r="U8" s="5" t="str">
        <f t="shared" si="3"/>
        <v>Supera los requisitos</v>
      </c>
      <c r="V8" s="5" t="s">
        <v>375</v>
      </c>
      <c r="W8" s="5" t="s">
        <v>157</v>
      </c>
      <c r="X8" s="5" t="s">
        <v>376</v>
      </c>
      <c r="Y8" s="5" t="s">
        <v>377</v>
      </c>
      <c r="Z8" s="5"/>
    </row>
    <row r="9" spans="1:26" ht="120" x14ac:dyDescent="0.25">
      <c r="A9" s="5" t="s">
        <v>29</v>
      </c>
      <c r="B9" s="5" t="s">
        <v>24</v>
      </c>
      <c r="C9" s="5" t="s">
        <v>27</v>
      </c>
      <c r="D9" s="5" t="s">
        <v>154</v>
      </c>
      <c r="E9" s="5" t="s">
        <v>155</v>
      </c>
      <c r="F9" s="5" t="s">
        <v>378</v>
      </c>
      <c r="G9" s="5" t="s">
        <v>379</v>
      </c>
      <c r="H9" s="5" t="s">
        <v>380</v>
      </c>
      <c r="I9" s="5" t="s">
        <v>344</v>
      </c>
      <c r="J9" s="5" t="s">
        <v>345</v>
      </c>
      <c r="K9" s="5" t="s">
        <v>346</v>
      </c>
      <c r="L9" s="5">
        <v>15</v>
      </c>
      <c r="M9" s="5">
        <v>15</v>
      </c>
      <c r="N9" s="5" t="s">
        <v>347</v>
      </c>
      <c r="O9" s="5">
        <f t="shared" si="0"/>
        <v>100</v>
      </c>
      <c r="P9" s="5" t="s">
        <v>152</v>
      </c>
      <c r="Q9" s="5" t="s">
        <v>153</v>
      </c>
      <c r="R9" s="5">
        <v>95</v>
      </c>
      <c r="S9" s="5" t="str">
        <f t="shared" si="1"/>
        <v>Aprobado</v>
      </c>
      <c r="T9" s="5">
        <f t="shared" si="2"/>
        <v>100</v>
      </c>
      <c r="U9" s="5" t="str">
        <f t="shared" si="3"/>
        <v>Supera los requisitos</v>
      </c>
      <c r="V9" s="5" t="s">
        <v>381</v>
      </c>
      <c r="W9" s="5" t="s">
        <v>157</v>
      </c>
      <c r="X9" s="5" t="s">
        <v>382</v>
      </c>
      <c r="Y9" s="5" t="s">
        <v>383</v>
      </c>
      <c r="Z9" s="5"/>
    </row>
    <row r="10" spans="1:26" ht="90" x14ac:dyDescent="0.25">
      <c r="A10" s="5" t="s">
        <v>29</v>
      </c>
      <c r="B10" s="5" t="s">
        <v>24</v>
      </c>
      <c r="C10" s="5" t="s">
        <v>27</v>
      </c>
      <c r="D10" s="5" t="s">
        <v>154</v>
      </c>
      <c r="E10" s="5" t="s">
        <v>155</v>
      </c>
      <c r="F10" s="5" t="s">
        <v>384</v>
      </c>
      <c r="G10" s="5" t="s">
        <v>385</v>
      </c>
      <c r="H10" s="5" t="s">
        <v>386</v>
      </c>
      <c r="I10" s="5" t="s">
        <v>344</v>
      </c>
      <c r="J10" s="5" t="s">
        <v>345</v>
      </c>
      <c r="K10" s="5" t="s">
        <v>346</v>
      </c>
      <c r="L10" s="5">
        <v>15</v>
      </c>
      <c r="M10" s="5">
        <v>15</v>
      </c>
      <c r="N10" s="5" t="s">
        <v>347</v>
      </c>
      <c r="O10" s="5">
        <f t="shared" si="0"/>
        <v>100</v>
      </c>
      <c r="P10" s="5" t="s">
        <v>152</v>
      </c>
      <c r="Q10" s="5" t="s">
        <v>153</v>
      </c>
      <c r="R10" s="5">
        <v>95</v>
      </c>
      <c r="S10" s="5" t="str">
        <f t="shared" si="1"/>
        <v>Aprobado</v>
      </c>
      <c r="T10" s="5">
        <f t="shared" si="2"/>
        <v>100</v>
      </c>
      <c r="U10" s="5" t="str">
        <f t="shared" si="3"/>
        <v>Supera los requisitos</v>
      </c>
      <c r="V10" s="5" t="s">
        <v>387</v>
      </c>
      <c r="W10" s="5" t="s">
        <v>157</v>
      </c>
      <c r="X10" s="5"/>
      <c r="Y10" s="5" t="s">
        <v>355</v>
      </c>
      <c r="Z10" s="5"/>
    </row>
    <row r="11" spans="1:26" ht="90" x14ac:dyDescent="0.25">
      <c r="A11" s="5" t="s">
        <v>31</v>
      </c>
      <c r="B11" s="5" t="s">
        <v>24</v>
      </c>
      <c r="C11" s="5" t="s">
        <v>30</v>
      </c>
      <c r="D11" s="5" t="s">
        <v>163</v>
      </c>
      <c r="E11" s="5" t="s">
        <v>164</v>
      </c>
      <c r="F11" s="5" t="s">
        <v>341</v>
      </c>
      <c r="G11" s="5" t="s">
        <v>342</v>
      </c>
      <c r="H11" s="5" t="s">
        <v>343</v>
      </c>
      <c r="I11" s="5" t="s">
        <v>344</v>
      </c>
      <c r="J11" s="5" t="s">
        <v>345</v>
      </c>
      <c r="K11" s="5" t="s">
        <v>346</v>
      </c>
      <c r="L11" s="5">
        <v>84</v>
      </c>
      <c r="M11" s="5">
        <v>84</v>
      </c>
      <c r="N11" s="5" t="s">
        <v>347</v>
      </c>
      <c r="O11" s="5">
        <f t="shared" si="0"/>
        <v>100</v>
      </c>
      <c r="P11" s="5" t="s">
        <v>152</v>
      </c>
      <c r="Q11" s="5" t="s">
        <v>153</v>
      </c>
      <c r="R11" s="5">
        <v>100</v>
      </c>
      <c r="S11" s="5" t="str">
        <f t="shared" si="1"/>
        <v>Aprobado</v>
      </c>
      <c r="T11" s="5">
        <f t="shared" si="2"/>
        <v>100</v>
      </c>
      <c r="U11" s="5" t="str">
        <f t="shared" si="3"/>
        <v>Supera los requisitos</v>
      </c>
      <c r="V11" s="5" t="s">
        <v>388</v>
      </c>
      <c r="W11" s="5" t="s">
        <v>157</v>
      </c>
      <c r="X11" s="5"/>
      <c r="Y11" s="5" t="s">
        <v>355</v>
      </c>
      <c r="Z11" s="5"/>
    </row>
    <row r="12" spans="1:26" ht="90" x14ac:dyDescent="0.25">
      <c r="A12" s="5" t="s">
        <v>31</v>
      </c>
      <c r="B12" s="5" t="s">
        <v>24</v>
      </c>
      <c r="C12" s="5" t="s">
        <v>30</v>
      </c>
      <c r="D12" s="5" t="s">
        <v>163</v>
      </c>
      <c r="E12" s="5" t="s">
        <v>164</v>
      </c>
      <c r="F12" s="5" t="s">
        <v>351</v>
      </c>
      <c r="G12" s="5" t="s">
        <v>352</v>
      </c>
      <c r="H12" s="5" t="s">
        <v>353</v>
      </c>
      <c r="I12" s="5" t="s">
        <v>344</v>
      </c>
      <c r="J12" s="5" t="s">
        <v>345</v>
      </c>
      <c r="K12" s="5" t="s">
        <v>346</v>
      </c>
      <c r="L12" s="5">
        <v>84</v>
      </c>
      <c r="M12" s="5">
        <v>84</v>
      </c>
      <c r="N12" s="5" t="s">
        <v>347</v>
      </c>
      <c r="O12" s="5">
        <f t="shared" si="0"/>
        <v>100</v>
      </c>
      <c r="P12" s="5" t="s">
        <v>152</v>
      </c>
      <c r="Q12" s="5" t="s">
        <v>153</v>
      </c>
      <c r="R12" s="5">
        <v>100</v>
      </c>
      <c r="S12" s="5" t="str">
        <f t="shared" si="1"/>
        <v>Aprobado</v>
      </c>
      <c r="T12" s="5">
        <f t="shared" si="2"/>
        <v>100</v>
      </c>
      <c r="U12" s="5" t="str">
        <f t="shared" si="3"/>
        <v>Supera los requisitos</v>
      </c>
      <c r="V12" s="5" t="s">
        <v>389</v>
      </c>
      <c r="W12" s="5" t="s">
        <v>157</v>
      </c>
      <c r="X12" s="5"/>
      <c r="Y12" s="5" t="s">
        <v>355</v>
      </c>
      <c r="Z12" s="5"/>
    </row>
    <row r="13" spans="1:26" ht="90" x14ac:dyDescent="0.25">
      <c r="A13" s="5" t="s">
        <v>31</v>
      </c>
      <c r="B13" s="5" t="s">
        <v>24</v>
      </c>
      <c r="C13" s="5" t="s">
        <v>30</v>
      </c>
      <c r="D13" s="5" t="s">
        <v>163</v>
      </c>
      <c r="E13" s="5" t="s">
        <v>164</v>
      </c>
      <c r="F13" s="5" t="s">
        <v>356</v>
      </c>
      <c r="G13" s="5" t="s">
        <v>357</v>
      </c>
      <c r="H13" s="5" t="s">
        <v>358</v>
      </c>
      <c r="I13" s="5" t="s">
        <v>344</v>
      </c>
      <c r="J13" s="5" t="s">
        <v>345</v>
      </c>
      <c r="K13" s="5" t="s">
        <v>346</v>
      </c>
      <c r="L13" s="5">
        <v>84</v>
      </c>
      <c r="M13" s="5">
        <v>84</v>
      </c>
      <c r="N13" s="5" t="s">
        <v>347</v>
      </c>
      <c r="O13" s="5">
        <f t="shared" si="0"/>
        <v>100</v>
      </c>
      <c r="P13" s="5" t="s">
        <v>152</v>
      </c>
      <c r="Q13" s="5" t="s">
        <v>153</v>
      </c>
      <c r="R13" s="5">
        <v>100</v>
      </c>
      <c r="S13" s="5" t="str">
        <f t="shared" si="1"/>
        <v>Aprobado</v>
      </c>
      <c r="T13" s="5">
        <f t="shared" si="2"/>
        <v>100</v>
      </c>
      <c r="U13" s="5" t="str">
        <f t="shared" si="3"/>
        <v>Supera los requisitos</v>
      </c>
      <c r="V13" s="5" t="s">
        <v>390</v>
      </c>
      <c r="W13" s="5" t="s">
        <v>157</v>
      </c>
      <c r="X13" s="5"/>
      <c r="Y13" s="5" t="s">
        <v>355</v>
      </c>
      <c r="Z13" s="5"/>
    </row>
    <row r="14" spans="1:26" ht="90" x14ac:dyDescent="0.25">
      <c r="A14" s="5" t="s">
        <v>31</v>
      </c>
      <c r="B14" s="5" t="s">
        <v>24</v>
      </c>
      <c r="C14" s="5" t="s">
        <v>30</v>
      </c>
      <c r="D14" s="5" t="s">
        <v>163</v>
      </c>
      <c r="E14" s="5" t="s">
        <v>164</v>
      </c>
      <c r="F14" s="5" t="s">
        <v>360</v>
      </c>
      <c r="G14" s="5" t="s">
        <v>361</v>
      </c>
      <c r="H14" s="5" t="s">
        <v>362</v>
      </c>
      <c r="I14" s="5" t="s">
        <v>344</v>
      </c>
      <c r="J14" s="5" t="s">
        <v>345</v>
      </c>
      <c r="K14" s="5" t="s">
        <v>346</v>
      </c>
      <c r="L14" s="5">
        <v>84</v>
      </c>
      <c r="M14" s="5">
        <v>84</v>
      </c>
      <c r="N14" s="5" t="s">
        <v>347</v>
      </c>
      <c r="O14" s="5">
        <f t="shared" si="0"/>
        <v>100</v>
      </c>
      <c r="P14" s="5" t="s">
        <v>152</v>
      </c>
      <c r="Q14" s="5" t="s">
        <v>153</v>
      </c>
      <c r="R14" s="5">
        <v>100</v>
      </c>
      <c r="S14" s="5" t="str">
        <f t="shared" si="1"/>
        <v>Aprobado</v>
      </c>
      <c r="T14" s="5">
        <f t="shared" si="2"/>
        <v>100</v>
      </c>
      <c r="U14" s="5" t="str">
        <f t="shared" si="3"/>
        <v>Supera los requisitos</v>
      </c>
      <c r="V14" s="5" t="s">
        <v>391</v>
      </c>
      <c r="W14" s="5" t="s">
        <v>157</v>
      </c>
      <c r="X14" s="5"/>
      <c r="Y14" s="5" t="s">
        <v>355</v>
      </c>
      <c r="Z14" s="5"/>
    </row>
    <row r="15" spans="1:26" ht="90" x14ac:dyDescent="0.25">
      <c r="A15" s="5" t="s">
        <v>31</v>
      </c>
      <c r="B15" s="5" t="s">
        <v>24</v>
      </c>
      <c r="C15" s="5" t="s">
        <v>30</v>
      </c>
      <c r="D15" s="5" t="s">
        <v>163</v>
      </c>
      <c r="E15" s="5" t="s">
        <v>164</v>
      </c>
      <c r="F15" s="5" t="s">
        <v>364</v>
      </c>
      <c r="G15" s="5" t="s">
        <v>365</v>
      </c>
      <c r="H15" s="5" t="s">
        <v>366</v>
      </c>
      <c r="I15" s="5" t="s">
        <v>344</v>
      </c>
      <c r="J15" s="5" t="s">
        <v>345</v>
      </c>
      <c r="K15" s="5" t="s">
        <v>346</v>
      </c>
      <c r="L15" s="5">
        <v>84</v>
      </c>
      <c r="M15" s="5">
        <v>84</v>
      </c>
      <c r="N15" s="5" t="s">
        <v>347</v>
      </c>
      <c r="O15" s="5">
        <f t="shared" si="0"/>
        <v>100</v>
      </c>
      <c r="P15" s="5" t="s">
        <v>152</v>
      </c>
      <c r="Q15" s="5" t="s">
        <v>153</v>
      </c>
      <c r="R15" s="5">
        <v>100</v>
      </c>
      <c r="S15" s="5" t="str">
        <f t="shared" si="1"/>
        <v>Aprobado</v>
      </c>
      <c r="T15" s="5">
        <f t="shared" si="2"/>
        <v>100</v>
      </c>
      <c r="U15" s="5" t="str">
        <f t="shared" si="3"/>
        <v>Supera los requisitos</v>
      </c>
      <c r="V15" s="5" t="s">
        <v>392</v>
      </c>
      <c r="W15" s="5" t="s">
        <v>157</v>
      </c>
      <c r="X15" s="5"/>
      <c r="Y15" s="5" t="s">
        <v>355</v>
      </c>
      <c r="Z15" s="5"/>
    </row>
    <row r="16" spans="1:26" ht="90" x14ac:dyDescent="0.25">
      <c r="A16" s="5" t="s">
        <v>31</v>
      </c>
      <c r="B16" s="5" t="s">
        <v>24</v>
      </c>
      <c r="C16" s="5" t="s">
        <v>30</v>
      </c>
      <c r="D16" s="5" t="s">
        <v>163</v>
      </c>
      <c r="E16" s="5" t="s">
        <v>164</v>
      </c>
      <c r="F16" s="5" t="s">
        <v>368</v>
      </c>
      <c r="G16" s="5" t="s">
        <v>369</v>
      </c>
      <c r="H16" s="5" t="s">
        <v>370</v>
      </c>
      <c r="I16" s="5" t="s">
        <v>344</v>
      </c>
      <c r="J16" s="5" t="s">
        <v>345</v>
      </c>
      <c r="K16" s="5" t="s">
        <v>346</v>
      </c>
      <c r="L16" s="5">
        <v>84</v>
      </c>
      <c r="M16" s="5">
        <v>84</v>
      </c>
      <c r="N16" s="5" t="s">
        <v>347</v>
      </c>
      <c r="O16" s="5">
        <f t="shared" si="0"/>
        <v>100</v>
      </c>
      <c r="P16" s="5" t="s">
        <v>152</v>
      </c>
      <c r="Q16" s="5" t="s">
        <v>153</v>
      </c>
      <c r="R16" s="5">
        <v>100</v>
      </c>
      <c r="S16" s="5" t="str">
        <f t="shared" si="1"/>
        <v>Aprobado</v>
      </c>
      <c r="T16" s="5">
        <f t="shared" si="2"/>
        <v>100</v>
      </c>
      <c r="U16" s="5" t="str">
        <f t="shared" si="3"/>
        <v>Supera los requisitos</v>
      </c>
      <c r="V16" s="5" t="s">
        <v>393</v>
      </c>
      <c r="W16" s="5" t="s">
        <v>157</v>
      </c>
      <c r="X16" s="5"/>
      <c r="Y16" s="5" t="s">
        <v>355</v>
      </c>
      <c r="Z16" s="5"/>
    </row>
    <row r="17" spans="1:26" ht="90" x14ac:dyDescent="0.25">
      <c r="A17" s="5" t="s">
        <v>31</v>
      </c>
      <c r="B17" s="5" t="s">
        <v>24</v>
      </c>
      <c r="C17" s="5" t="s">
        <v>30</v>
      </c>
      <c r="D17" s="5" t="s">
        <v>163</v>
      </c>
      <c r="E17" s="5" t="s">
        <v>164</v>
      </c>
      <c r="F17" s="5" t="s">
        <v>372</v>
      </c>
      <c r="G17" s="5" t="s">
        <v>373</v>
      </c>
      <c r="H17" s="5" t="s">
        <v>374</v>
      </c>
      <c r="I17" s="5" t="s">
        <v>344</v>
      </c>
      <c r="J17" s="5" t="s">
        <v>345</v>
      </c>
      <c r="K17" s="5" t="s">
        <v>346</v>
      </c>
      <c r="L17" s="5">
        <v>84</v>
      </c>
      <c r="M17" s="5">
        <v>84</v>
      </c>
      <c r="N17" s="5" t="s">
        <v>347</v>
      </c>
      <c r="O17" s="5">
        <f t="shared" si="0"/>
        <v>100</v>
      </c>
      <c r="P17" s="5" t="s">
        <v>152</v>
      </c>
      <c r="Q17" s="5" t="s">
        <v>153</v>
      </c>
      <c r="R17" s="5">
        <v>100</v>
      </c>
      <c r="S17" s="5" t="str">
        <f t="shared" si="1"/>
        <v>Aprobado</v>
      </c>
      <c r="T17" s="5">
        <f t="shared" si="2"/>
        <v>100</v>
      </c>
      <c r="U17" s="5" t="str">
        <f t="shared" si="3"/>
        <v>Supera los requisitos</v>
      </c>
      <c r="V17" s="5" t="s">
        <v>394</v>
      </c>
      <c r="W17" s="5" t="s">
        <v>157</v>
      </c>
      <c r="X17" s="5"/>
      <c r="Y17" s="5" t="s">
        <v>355</v>
      </c>
      <c r="Z17" s="5"/>
    </row>
    <row r="18" spans="1:26" ht="90" x14ac:dyDescent="0.25">
      <c r="A18" s="5" t="s">
        <v>31</v>
      </c>
      <c r="B18" s="5" t="s">
        <v>24</v>
      </c>
      <c r="C18" s="5" t="s">
        <v>30</v>
      </c>
      <c r="D18" s="5" t="s">
        <v>163</v>
      </c>
      <c r="E18" s="5" t="s">
        <v>164</v>
      </c>
      <c r="F18" s="5" t="s">
        <v>378</v>
      </c>
      <c r="G18" s="5" t="s">
        <v>379</v>
      </c>
      <c r="H18" s="5" t="s">
        <v>380</v>
      </c>
      <c r="I18" s="5" t="s">
        <v>344</v>
      </c>
      <c r="J18" s="5" t="s">
        <v>345</v>
      </c>
      <c r="K18" s="5" t="s">
        <v>346</v>
      </c>
      <c r="L18" s="5">
        <v>84</v>
      </c>
      <c r="M18" s="5">
        <v>84</v>
      </c>
      <c r="N18" s="5" t="s">
        <v>347</v>
      </c>
      <c r="O18" s="5">
        <f t="shared" si="0"/>
        <v>100</v>
      </c>
      <c r="P18" s="5" t="s">
        <v>152</v>
      </c>
      <c r="Q18" s="5" t="s">
        <v>153</v>
      </c>
      <c r="R18" s="5">
        <v>100</v>
      </c>
      <c r="S18" s="5" t="str">
        <f t="shared" si="1"/>
        <v>Aprobado</v>
      </c>
      <c r="T18" s="5">
        <f t="shared" si="2"/>
        <v>100</v>
      </c>
      <c r="U18" s="5" t="str">
        <f t="shared" si="3"/>
        <v>Supera los requisitos</v>
      </c>
      <c r="V18" s="5" t="s">
        <v>395</v>
      </c>
      <c r="W18" s="5" t="s">
        <v>157</v>
      </c>
      <c r="X18" s="5"/>
      <c r="Y18" s="5" t="s">
        <v>355</v>
      </c>
      <c r="Z18" s="5"/>
    </row>
    <row r="19" spans="1:26" ht="90" x14ac:dyDescent="0.25">
      <c r="A19" s="5" t="s">
        <v>31</v>
      </c>
      <c r="B19" s="5" t="s">
        <v>24</v>
      </c>
      <c r="C19" s="5" t="s">
        <v>30</v>
      </c>
      <c r="D19" s="5" t="s">
        <v>163</v>
      </c>
      <c r="E19" s="5" t="s">
        <v>164</v>
      </c>
      <c r="F19" s="5" t="s">
        <v>384</v>
      </c>
      <c r="G19" s="5" t="s">
        <v>385</v>
      </c>
      <c r="H19" s="5" t="s">
        <v>386</v>
      </c>
      <c r="I19" s="5" t="s">
        <v>344</v>
      </c>
      <c r="J19" s="5" t="s">
        <v>345</v>
      </c>
      <c r="K19" s="5" t="s">
        <v>346</v>
      </c>
      <c r="L19" s="5">
        <v>84</v>
      </c>
      <c r="M19" s="5">
        <v>84</v>
      </c>
      <c r="N19" s="5" t="s">
        <v>347</v>
      </c>
      <c r="O19" s="5">
        <f t="shared" si="0"/>
        <v>100</v>
      </c>
      <c r="P19" s="5" t="s">
        <v>152</v>
      </c>
      <c r="Q19" s="5" t="s">
        <v>153</v>
      </c>
      <c r="R19" s="5">
        <v>100</v>
      </c>
      <c r="S19" s="5" t="str">
        <f t="shared" si="1"/>
        <v>Aprobado</v>
      </c>
      <c r="T19" s="5">
        <f t="shared" si="2"/>
        <v>100</v>
      </c>
      <c r="U19" s="5" t="str">
        <f t="shared" si="3"/>
        <v>Supera los requisitos</v>
      </c>
      <c r="V19" s="5" t="s">
        <v>396</v>
      </c>
      <c r="W19" s="5" t="s">
        <v>157</v>
      </c>
      <c r="X19" s="5"/>
      <c r="Y19" s="5" t="s">
        <v>355</v>
      </c>
      <c r="Z19" s="5"/>
    </row>
    <row r="20" spans="1:26" ht="90" x14ac:dyDescent="0.25">
      <c r="A20" s="5" t="s">
        <v>33</v>
      </c>
      <c r="B20" s="5" t="s">
        <v>24</v>
      </c>
      <c r="C20" s="5" t="s">
        <v>32</v>
      </c>
      <c r="D20" s="5" t="s">
        <v>171</v>
      </c>
      <c r="E20" s="5" t="s">
        <v>172</v>
      </c>
      <c r="F20" s="5" t="s">
        <v>341</v>
      </c>
      <c r="G20" s="5" t="s">
        <v>342</v>
      </c>
      <c r="H20" s="5" t="s">
        <v>343</v>
      </c>
      <c r="I20" s="5" t="s">
        <v>344</v>
      </c>
      <c r="J20" s="5" t="s">
        <v>345</v>
      </c>
      <c r="K20" s="5" t="s">
        <v>346</v>
      </c>
      <c r="L20" s="5">
        <v>8</v>
      </c>
      <c r="M20" s="5">
        <v>8</v>
      </c>
      <c r="N20" s="5" t="s">
        <v>347</v>
      </c>
      <c r="O20" s="5">
        <f t="shared" si="0"/>
        <v>100</v>
      </c>
      <c r="P20" s="5" t="s">
        <v>152</v>
      </c>
      <c r="Q20" s="5" t="s">
        <v>153</v>
      </c>
      <c r="R20" s="5">
        <v>90</v>
      </c>
      <c r="S20" s="5" t="str">
        <f t="shared" si="1"/>
        <v>Aprobado</v>
      </c>
      <c r="T20" s="5">
        <f t="shared" si="2"/>
        <v>100</v>
      </c>
      <c r="U20" s="5" t="str">
        <f t="shared" si="3"/>
        <v>Supera los requisitos</v>
      </c>
      <c r="V20" s="5" t="s">
        <v>397</v>
      </c>
      <c r="W20" s="5" t="s">
        <v>157</v>
      </c>
      <c r="X20" s="5"/>
      <c r="Y20" s="5" t="s">
        <v>355</v>
      </c>
      <c r="Z20" s="5"/>
    </row>
    <row r="21" spans="1:26" ht="90" x14ac:dyDescent="0.25">
      <c r="A21" s="5" t="s">
        <v>33</v>
      </c>
      <c r="B21" s="5" t="s">
        <v>24</v>
      </c>
      <c r="C21" s="5" t="s">
        <v>32</v>
      </c>
      <c r="D21" s="5" t="s">
        <v>171</v>
      </c>
      <c r="E21" s="5" t="s">
        <v>172</v>
      </c>
      <c r="F21" s="5" t="s">
        <v>351</v>
      </c>
      <c r="G21" s="5" t="s">
        <v>352</v>
      </c>
      <c r="H21" s="5" t="s">
        <v>353</v>
      </c>
      <c r="I21" s="5" t="s">
        <v>344</v>
      </c>
      <c r="J21" s="5" t="s">
        <v>345</v>
      </c>
      <c r="K21" s="5" t="s">
        <v>346</v>
      </c>
      <c r="L21" s="5">
        <v>8</v>
      </c>
      <c r="M21" s="5">
        <v>8</v>
      </c>
      <c r="N21" s="5" t="s">
        <v>347</v>
      </c>
      <c r="O21" s="5">
        <f t="shared" si="0"/>
        <v>100</v>
      </c>
      <c r="P21" s="5" t="s">
        <v>152</v>
      </c>
      <c r="Q21" s="5" t="s">
        <v>153</v>
      </c>
      <c r="R21" s="5">
        <v>90</v>
      </c>
      <c r="S21" s="5" t="str">
        <f t="shared" si="1"/>
        <v>Aprobado</v>
      </c>
      <c r="T21" s="5">
        <f t="shared" si="2"/>
        <v>100</v>
      </c>
      <c r="U21" s="5" t="str">
        <f t="shared" si="3"/>
        <v>Supera los requisitos</v>
      </c>
      <c r="V21" s="5" t="s">
        <v>398</v>
      </c>
      <c r="W21" s="5" t="s">
        <v>157</v>
      </c>
      <c r="X21" s="5"/>
      <c r="Y21" s="5" t="s">
        <v>355</v>
      </c>
      <c r="Z21" s="5"/>
    </row>
    <row r="22" spans="1:26" ht="90" x14ac:dyDescent="0.25">
      <c r="A22" s="5" t="s">
        <v>33</v>
      </c>
      <c r="B22" s="5" t="s">
        <v>24</v>
      </c>
      <c r="C22" s="5" t="s">
        <v>32</v>
      </c>
      <c r="D22" s="5" t="s">
        <v>171</v>
      </c>
      <c r="E22" s="5" t="s">
        <v>172</v>
      </c>
      <c r="F22" s="5" t="s">
        <v>356</v>
      </c>
      <c r="G22" s="5" t="s">
        <v>357</v>
      </c>
      <c r="H22" s="5" t="s">
        <v>358</v>
      </c>
      <c r="I22" s="5" t="s">
        <v>344</v>
      </c>
      <c r="J22" s="5" t="s">
        <v>345</v>
      </c>
      <c r="K22" s="5" t="s">
        <v>346</v>
      </c>
      <c r="L22" s="5">
        <v>8</v>
      </c>
      <c r="M22" s="5">
        <v>8</v>
      </c>
      <c r="N22" s="5" t="s">
        <v>347</v>
      </c>
      <c r="O22" s="5">
        <f t="shared" si="0"/>
        <v>100</v>
      </c>
      <c r="P22" s="5" t="s">
        <v>152</v>
      </c>
      <c r="Q22" s="5" t="s">
        <v>153</v>
      </c>
      <c r="R22" s="5">
        <v>90</v>
      </c>
      <c r="S22" s="5" t="str">
        <f t="shared" si="1"/>
        <v>Aprobado</v>
      </c>
      <c r="T22" s="5">
        <f t="shared" si="2"/>
        <v>100</v>
      </c>
      <c r="U22" s="5" t="str">
        <f t="shared" si="3"/>
        <v>Supera los requisitos</v>
      </c>
      <c r="V22" s="5" t="s">
        <v>399</v>
      </c>
      <c r="W22" s="5" t="s">
        <v>157</v>
      </c>
      <c r="X22" s="5"/>
      <c r="Y22" s="5" t="s">
        <v>355</v>
      </c>
      <c r="Z22" s="5"/>
    </row>
    <row r="23" spans="1:26" ht="90" x14ac:dyDescent="0.25">
      <c r="A23" s="5" t="s">
        <v>33</v>
      </c>
      <c r="B23" s="5" t="s">
        <v>24</v>
      </c>
      <c r="C23" s="5" t="s">
        <v>32</v>
      </c>
      <c r="D23" s="5" t="s">
        <v>171</v>
      </c>
      <c r="E23" s="5" t="s">
        <v>172</v>
      </c>
      <c r="F23" s="5" t="s">
        <v>360</v>
      </c>
      <c r="G23" s="5" t="s">
        <v>361</v>
      </c>
      <c r="H23" s="5" t="s">
        <v>362</v>
      </c>
      <c r="I23" s="5" t="s">
        <v>344</v>
      </c>
      <c r="J23" s="5" t="s">
        <v>345</v>
      </c>
      <c r="K23" s="5" t="s">
        <v>346</v>
      </c>
      <c r="L23" s="5">
        <v>8</v>
      </c>
      <c r="M23" s="5">
        <v>8</v>
      </c>
      <c r="N23" s="5" t="s">
        <v>347</v>
      </c>
      <c r="O23" s="5">
        <f t="shared" si="0"/>
        <v>100</v>
      </c>
      <c r="P23" s="5" t="s">
        <v>152</v>
      </c>
      <c r="Q23" s="5" t="s">
        <v>153</v>
      </c>
      <c r="R23" s="5">
        <v>90</v>
      </c>
      <c r="S23" s="5" t="str">
        <f t="shared" si="1"/>
        <v>Aprobado</v>
      </c>
      <c r="T23" s="5">
        <f t="shared" si="2"/>
        <v>100</v>
      </c>
      <c r="U23" s="5" t="str">
        <f t="shared" si="3"/>
        <v>Supera los requisitos</v>
      </c>
      <c r="V23" s="5" t="s">
        <v>400</v>
      </c>
      <c r="W23" s="5" t="s">
        <v>157</v>
      </c>
      <c r="X23" s="5"/>
      <c r="Y23" s="5" t="s">
        <v>355</v>
      </c>
      <c r="Z23" s="5"/>
    </row>
    <row r="24" spans="1:26" ht="90" x14ac:dyDescent="0.25">
      <c r="A24" s="5" t="s">
        <v>33</v>
      </c>
      <c r="B24" s="5" t="s">
        <v>24</v>
      </c>
      <c r="C24" s="5" t="s">
        <v>32</v>
      </c>
      <c r="D24" s="5" t="s">
        <v>171</v>
      </c>
      <c r="E24" s="5" t="s">
        <v>172</v>
      </c>
      <c r="F24" s="5" t="s">
        <v>364</v>
      </c>
      <c r="G24" s="5" t="s">
        <v>365</v>
      </c>
      <c r="H24" s="5" t="s">
        <v>366</v>
      </c>
      <c r="I24" s="5" t="s">
        <v>344</v>
      </c>
      <c r="J24" s="5" t="s">
        <v>345</v>
      </c>
      <c r="K24" s="5" t="s">
        <v>346</v>
      </c>
      <c r="L24" s="5">
        <v>8</v>
      </c>
      <c r="M24" s="5">
        <v>8</v>
      </c>
      <c r="N24" s="5" t="s">
        <v>347</v>
      </c>
      <c r="O24" s="5">
        <f t="shared" si="0"/>
        <v>100</v>
      </c>
      <c r="P24" s="5" t="s">
        <v>152</v>
      </c>
      <c r="Q24" s="5" t="s">
        <v>153</v>
      </c>
      <c r="R24" s="5">
        <v>90</v>
      </c>
      <c r="S24" s="5" t="str">
        <f t="shared" si="1"/>
        <v>Aprobado</v>
      </c>
      <c r="T24" s="5">
        <f t="shared" si="2"/>
        <v>100</v>
      </c>
      <c r="U24" s="5" t="str">
        <f t="shared" si="3"/>
        <v>Supera los requisitos</v>
      </c>
      <c r="V24" s="5" t="s">
        <v>401</v>
      </c>
      <c r="W24" s="5" t="s">
        <v>157</v>
      </c>
      <c r="X24" s="5"/>
      <c r="Y24" s="5" t="s">
        <v>355</v>
      </c>
      <c r="Z24" s="5"/>
    </row>
    <row r="25" spans="1:26" ht="300" x14ac:dyDescent="0.25">
      <c r="A25" s="5" t="s">
        <v>33</v>
      </c>
      <c r="B25" s="5" t="s">
        <v>24</v>
      </c>
      <c r="C25" s="5" t="s">
        <v>32</v>
      </c>
      <c r="D25" s="5" t="s">
        <v>171</v>
      </c>
      <c r="E25" s="5" t="s">
        <v>172</v>
      </c>
      <c r="F25" s="5" t="s">
        <v>368</v>
      </c>
      <c r="G25" s="5" t="s">
        <v>369</v>
      </c>
      <c r="H25" s="5" t="s">
        <v>370</v>
      </c>
      <c r="I25" s="5" t="s">
        <v>344</v>
      </c>
      <c r="J25" s="5" t="s">
        <v>345</v>
      </c>
      <c r="K25" s="5" t="s">
        <v>346</v>
      </c>
      <c r="L25" s="5">
        <v>8</v>
      </c>
      <c r="M25" s="5">
        <v>8</v>
      </c>
      <c r="N25" s="5" t="s">
        <v>347</v>
      </c>
      <c r="O25" s="5">
        <f t="shared" si="0"/>
        <v>100</v>
      </c>
      <c r="P25" s="5" t="s">
        <v>152</v>
      </c>
      <c r="Q25" s="5" t="s">
        <v>153</v>
      </c>
      <c r="R25" s="5">
        <v>90</v>
      </c>
      <c r="S25" s="5" t="str">
        <f t="shared" si="1"/>
        <v>Aprobado</v>
      </c>
      <c r="T25" s="5">
        <f t="shared" si="2"/>
        <v>100</v>
      </c>
      <c r="U25" s="5" t="str">
        <f t="shared" si="3"/>
        <v>Supera los requisitos</v>
      </c>
      <c r="V25" s="5" t="s">
        <v>402</v>
      </c>
      <c r="W25" s="5" t="s">
        <v>157</v>
      </c>
      <c r="X25" s="5" t="s">
        <v>403</v>
      </c>
      <c r="Y25" s="5" t="s">
        <v>404</v>
      </c>
      <c r="Z25" s="5"/>
    </row>
    <row r="26" spans="1:26" ht="90" x14ac:dyDescent="0.25">
      <c r="A26" s="5" t="s">
        <v>33</v>
      </c>
      <c r="B26" s="5" t="s">
        <v>24</v>
      </c>
      <c r="C26" s="5" t="s">
        <v>32</v>
      </c>
      <c r="D26" s="5" t="s">
        <v>171</v>
      </c>
      <c r="E26" s="5" t="s">
        <v>172</v>
      </c>
      <c r="F26" s="5" t="s">
        <v>372</v>
      </c>
      <c r="G26" s="5" t="s">
        <v>373</v>
      </c>
      <c r="H26" s="5" t="s">
        <v>374</v>
      </c>
      <c r="I26" s="5" t="s">
        <v>344</v>
      </c>
      <c r="J26" s="5" t="s">
        <v>345</v>
      </c>
      <c r="K26" s="5" t="s">
        <v>346</v>
      </c>
      <c r="L26" s="5">
        <v>8</v>
      </c>
      <c r="M26" s="5">
        <v>8</v>
      </c>
      <c r="N26" s="5" t="s">
        <v>347</v>
      </c>
      <c r="O26" s="5">
        <f t="shared" si="0"/>
        <v>100</v>
      </c>
      <c r="P26" s="5" t="s">
        <v>152</v>
      </c>
      <c r="Q26" s="5" t="s">
        <v>153</v>
      </c>
      <c r="R26" s="5">
        <v>90</v>
      </c>
      <c r="S26" s="5" t="str">
        <f t="shared" si="1"/>
        <v>Aprobado</v>
      </c>
      <c r="T26" s="5">
        <f t="shared" si="2"/>
        <v>100</v>
      </c>
      <c r="U26" s="5" t="str">
        <f t="shared" si="3"/>
        <v>Supera los requisitos</v>
      </c>
      <c r="V26" s="5" t="s">
        <v>405</v>
      </c>
      <c r="W26" s="5" t="s">
        <v>157</v>
      </c>
      <c r="X26" s="5"/>
      <c r="Y26" s="5" t="s">
        <v>355</v>
      </c>
      <c r="Z26" s="5"/>
    </row>
    <row r="27" spans="1:26" ht="90" x14ac:dyDescent="0.25">
      <c r="A27" s="5" t="s">
        <v>33</v>
      </c>
      <c r="B27" s="5" t="s">
        <v>24</v>
      </c>
      <c r="C27" s="5" t="s">
        <v>32</v>
      </c>
      <c r="D27" s="5" t="s">
        <v>171</v>
      </c>
      <c r="E27" s="5" t="s">
        <v>172</v>
      </c>
      <c r="F27" s="5" t="s">
        <v>378</v>
      </c>
      <c r="G27" s="5" t="s">
        <v>379</v>
      </c>
      <c r="H27" s="5" t="s">
        <v>380</v>
      </c>
      <c r="I27" s="5" t="s">
        <v>344</v>
      </c>
      <c r="J27" s="5" t="s">
        <v>345</v>
      </c>
      <c r="K27" s="5" t="s">
        <v>346</v>
      </c>
      <c r="L27" s="5">
        <v>8</v>
      </c>
      <c r="M27" s="5">
        <v>8</v>
      </c>
      <c r="N27" s="5" t="s">
        <v>347</v>
      </c>
      <c r="O27" s="5">
        <f t="shared" si="0"/>
        <v>100</v>
      </c>
      <c r="P27" s="5" t="s">
        <v>152</v>
      </c>
      <c r="Q27" s="5" t="s">
        <v>153</v>
      </c>
      <c r="R27" s="5">
        <v>90</v>
      </c>
      <c r="S27" s="5" t="str">
        <f t="shared" si="1"/>
        <v>Aprobado</v>
      </c>
      <c r="T27" s="5">
        <f t="shared" si="2"/>
        <v>100</v>
      </c>
      <c r="U27" s="5" t="str">
        <f t="shared" si="3"/>
        <v>Supera los requisitos</v>
      </c>
      <c r="V27" s="5" t="s">
        <v>406</v>
      </c>
      <c r="W27" s="5" t="s">
        <v>157</v>
      </c>
      <c r="X27" s="5"/>
      <c r="Y27" s="5" t="s">
        <v>355</v>
      </c>
      <c r="Z27" s="5"/>
    </row>
    <row r="28" spans="1:26" ht="90" x14ac:dyDescent="0.25">
      <c r="A28" s="5" t="s">
        <v>33</v>
      </c>
      <c r="B28" s="5" t="s">
        <v>24</v>
      </c>
      <c r="C28" s="5" t="s">
        <v>32</v>
      </c>
      <c r="D28" s="5" t="s">
        <v>171</v>
      </c>
      <c r="E28" s="5" t="s">
        <v>172</v>
      </c>
      <c r="F28" s="5" t="s">
        <v>384</v>
      </c>
      <c r="G28" s="5" t="s">
        <v>385</v>
      </c>
      <c r="H28" s="5" t="s">
        <v>386</v>
      </c>
      <c r="I28" s="5" t="s">
        <v>344</v>
      </c>
      <c r="J28" s="5" t="s">
        <v>345</v>
      </c>
      <c r="K28" s="5" t="s">
        <v>346</v>
      </c>
      <c r="L28" s="5">
        <v>8</v>
      </c>
      <c r="M28" s="5">
        <v>8</v>
      </c>
      <c r="N28" s="5" t="s">
        <v>347</v>
      </c>
      <c r="O28" s="5">
        <f t="shared" si="0"/>
        <v>100</v>
      </c>
      <c r="P28" s="5" t="s">
        <v>152</v>
      </c>
      <c r="Q28" s="5" t="s">
        <v>153</v>
      </c>
      <c r="R28" s="5">
        <v>90</v>
      </c>
      <c r="S28" s="5" t="str">
        <f t="shared" si="1"/>
        <v>Aprobado</v>
      </c>
      <c r="T28" s="5">
        <f t="shared" si="2"/>
        <v>100</v>
      </c>
      <c r="U28" s="5" t="str">
        <f t="shared" si="3"/>
        <v>Supera los requisitos</v>
      </c>
      <c r="V28" s="5" t="s">
        <v>407</v>
      </c>
      <c r="W28" s="5" t="s">
        <v>157</v>
      </c>
      <c r="X28" s="5"/>
      <c r="Y28" s="5" t="s">
        <v>355</v>
      </c>
      <c r="Z28" s="5"/>
    </row>
    <row r="29" spans="1:26" ht="120" x14ac:dyDescent="0.25">
      <c r="A29" s="5" t="s">
        <v>174</v>
      </c>
      <c r="B29" s="5" t="s">
        <v>35</v>
      </c>
      <c r="C29" s="5" t="s">
        <v>38</v>
      </c>
      <c r="D29" s="5" t="s">
        <v>183</v>
      </c>
      <c r="E29" s="5" t="s">
        <v>184</v>
      </c>
      <c r="F29" s="5" t="s">
        <v>341</v>
      </c>
      <c r="G29" s="5" t="s">
        <v>342</v>
      </c>
      <c r="H29" s="5" t="s">
        <v>343</v>
      </c>
      <c r="I29" s="5" t="s">
        <v>344</v>
      </c>
      <c r="J29" s="5" t="s">
        <v>345</v>
      </c>
      <c r="K29" s="5" t="s">
        <v>408</v>
      </c>
      <c r="L29" s="5">
        <v>3.2909999999999999</v>
      </c>
      <c r="M29" s="5"/>
      <c r="N29" s="5" t="s">
        <v>180</v>
      </c>
      <c r="O29" s="5">
        <f t="shared" si="0"/>
        <v>3.2909999999999999</v>
      </c>
      <c r="P29" s="5" t="s">
        <v>181</v>
      </c>
      <c r="Q29" s="5" t="s">
        <v>182</v>
      </c>
      <c r="R29" s="5">
        <v>2.5</v>
      </c>
      <c r="S29" s="5" t="str">
        <f t="shared" si="1"/>
        <v>Rechazado</v>
      </c>
      <c r="T29" s="5">
        <f t="shared" si="2"/>
        <v>75.959999999999994</v>
      </c>
      <c r="U29" s="5" t="str">
        <f t="shared" si="3"/>
        <v>Rango objetivo</v>
      </c>
      <c r="V29" s="5" t="s">
        <v>409</v>
      </c>
      <c r="W29" s="5" t="s">
        <v>157</v>
      </c>
      <c r="X29" s="5" t="s">
        <v>410</v>
      </c>
      <c r="Y29" s="5" t="s">
        <v>411</v>
      </c>
      <c r="Z29" s="5"/>
    </row>
    <row r="30" spans="1:26" ht="150" x14ac:dyDescent="0.25">
      <c r="A30" s="5" t="s">
        <v>174</v>
      </c>
      <c r="B30" s="5" t="s">
        <v>35</v>
      </c>
      <c r="C30" s="5" t="s">
        <v>38</v>
      </c>
      <c r="D30" s="5" t="s">
        <v>183</v>
      </c>
      <c r="E30" s="5" t="s">
        <v>184</v>
      </c>
      <c r="F30" s="5" t="s">
        <v>351</v>
      </c>
      <c r="G30" s="5" t="s">
        <v>352</v>
      </c>
      <c r="H30" s="5" t="s">
        <v>353</v>
      </c>
      <c r="I30" s="5" t="s">
        <v>344</v>
      </c>
      <c r="J30" s="5" t="s">
        <v>345</v>
      </c>
      <c r="K30" s="5" t="s">
        <v>408</v>
      </c>
      <c r="L30" s="5">
        <v>2.4769999999999999</v>
      </c>
      <c r="M30" s="5"/>
      <c r="N30" s="5" t="s">
        <v>180</v>
      </c>
      <c r="O30" s="5">
        <f t="shared" si="0"/>
        <v>2.4769999999999999</v>
      </c>
      <c r="P30" s="5" t="s">
        <v>181</v>
      </c>
      <c r="Q30" s="5" t="s">
        <v>182</v>
      </c>
      <c r="R30" s="5">
        <v>2.5</v>
      </c>
      <c r="S30" s="5" t="str">
        <f t="shared" si="1"/>
        <v>Aprobado</v>
      </c>
      <c r="T30" s="5">
        <f t="shared" si="2"/>
        <v>100</v>
      </c>
      <c r="U30" s="5" t="str">
        <f t="shared" si="3"/>
        <v>Supera los requisitos</v>
      </c>
      <c r="V30" s="5" t="s">
        <v>412</v>
      </c>
      <c r="W30" s="5" t="s">
        <v>157</v>
      </c>
      <c r="X30" s="5" t="s">
        <v>413</v>
      </c>
      <c r="Y30" s="5" t="s">
        <v>414</v>
      </c>
      <c r="Z30" s="5"/>
    </row>
    <row r="31" spans="1:26" ht="270" x14ac:dyDescent="0.25">
      <c r="A31" s="5" t="s">
        <v>174</v>
      </c>
      <c r="B31" s="5" t="s">
        <v>35</v>
      </c>
      <c r="C31" s="5" t="s">
        <v>38</v>
      </c>
      <c r="D31" s="5" t="s">
        <v>183</v>
      </c>
      <c r="E31" s="5" t="s">
        <v>184</v>
      </c>
      <c r="F31" s="5" t="s">
        <v>356</v>
      </c>
      <c r="G31" s="5" t="s">
        <v>357</v>
      </c>
      <c r="H31" s="5" t="s">
        <v>358</v>
      </c>
      <c r="I31" s="5" t="s">
        <v>344</v>
      </c>
      <c r="J31" s="5" t="s">
        <v>345</v>
      </c>
      <c r="K31" s="5" t="s">
        <v>408</v>
      </c>
      <c r="L31" s="5">
        <v>2.5619999999999998</v>
      </c>
      <c r="M31" s="5"/>
      <c r="N31" s="5" t="s">
        <v>180</v>
      </c>
      <c r="O31" s="5">
        <f t="shared" si="0"/>
        <v>2.5619999999999998</v>
      </c>
      <c r="P31" s="5" t="s">
        <v>181</v>
      </c>
      <c r="Q31" s="5" t="s">
        <v>182</v>
      </c>
      <c r="R31" s="5">
        <v>2.5</v>
      </c>
      <c r="S31" s="5" t="str">
        <f t="shared" si="1"/>
        <v>Rechazado</v>
      </c>
      <c r="T31" s="5">
        <f t="shared" si="2"/>
        <v>97.58</v>
      </c>
      <c r="U31" s="5" t="str">
        <f t="shared" si="3"/>
        <v>Supera los requisitos</v>
      </c>
      <c r="V31" s="5" t="s">
        <v>415</v>
      </c>
      <c r="W31" s="5" t="s">
        <v>157</v>
      </c>
      <c r="X31" s="5" t="s">
        <v>416</v>
      </c>
      <c r="Y31" s="5" t="s">
        <v>417</v>
      </c>
      <c r="Z31" s="5"/>
    </row>
    <row r="32" spans="1:26" ht="195" x14ac:dyDescent="0.25">
      <c r="A32" s="5" t="s">
        <v>174</v>
      </c>
      <c r="B32" s="5" t="s">
        <v>35</v>
      </c>
      <c r="C32" s="5" t="s">
        <v>38</v>
      </c>
      <c r="D32" s="5" t="s">
        <v>183</v>
      </c>
      <c r="E32" s="5" t="s">
        <v>184</v>
      </c>
      <c r="F32" s="5" t="s">
        <v>360</v>
      </c>
      <c r="G32" s="5" t="s">
        <v>361</v>
      </c>
      <c r="H32" s="5" t="s">
        <v>362</v>
      </c>
      <c r="I32" s="5" t="s">
        <v>344</v>
      </c>
      <c r="J32" s="5" t="s">
        <v>345</v>
      </c>
      <c r="K32" s="5" t="s">
        <v>408</v>
      </c>
      <c r="L32" s="5">
        <v>2.5499999999999998</v>
      </c>
      <c r="M32" s="5"/>
      <c r="N32" s="5" t="s">
        <v>180</v>
      </c>
      <c r="O32" s="5">
        <f t="shared" si="0"/>
        <v>2.5499999999999998</v>
      </c>
      <c r="P32" s="5" t="s">
        <v>181</v>
      </c>
      <c r="Q32" s="5" t="s">
        <v>182</v>
      </c>
      <c r="R32" s="5">
        <v>2.5</v>
      </c>
      <c r="S32" s="5" t="str">
        <f t="shared" si="1"/>
        <v>Rechazado</v>
      </c>
      <c r="T32" s="5">
        <f t="shared" si="2"/>
        <v>98.04</v>
      </c>
      <c r="U32" s="5" t="str">
        <f t="shared" si="3"/>
        <v>Supera los requisitos</v>
      </c>
      <c r="V32" s="5" t="s">
        <v>418</v>
      </c>
      <c r="W32" s="5" t="s">
        <v>157</v>
      </c>
      <c r="X32" s="5" t="s">
        <v>419</v>
      </c>
      <c r="Y32" s="5" t="s">
        <v>420</v>
      </c>
      <c r="Z32" s="5"/>
    </row>
    <row r="33" spans="1:26" ht="90" x14ac:dyDescent="0.25">
      <c r="A33" s="5" t="s">
        <v>174</v>
      </c>
      <c r="B33" s="5" t="s">
        <v>35</v>
      </c>
      <c r="C33" s="5" t="s">
        <v>38</v>
      </c>
      <c r="D33" s="5" t="s">
        <v>183</v>
      </c>
      <c r="E33" s="5" t="s">
        <v>184</v>
      </c>
      <c r="F33" s="5" t="s">
        <v>364</v>
      </c>
      <c r="G33" s="5" t="s">
        <v>365</v>
      </c>
      <c r="H33" s="5" t="s">
        <v>366</v>
      </c>
      <c r="I33" s="5" t="s">
        <v>344</v>
      </c>
      <c r="J33" s="5" t="s">
        <v>345</v>
      </c>
      <c r="K33" s="5" t="s">
        <v>408</v>
      </c>
      <c r="L33" s="5">
        <v>0.98199999999999998</v>
      </c>
      <c r="M33" s="5"/>
      <c r="N33" s="5" t="s">
        <v>180</v>
      </c>
      <c r="O33" s="5">
        <f t="shared" si="0"/>
        <v>0.98199999999999998</v>
      </c>
      <c r="P33" s="5" t="s">
        <v>181</v>
      </c>
      <c r="Q33" s="5" t="s">
        <v>182</v>
      </c>
      <c r="R33" s="5">
        <v>2.5</v>
      </c>
      <c r="S33" s="5" t="str">
        <f t="shared" si="1"/>
        <v>Aprobado</v>
      </c>
      <c r="T33" s="5">
        <f t="shared" si="2"/>
        <v>100</v>
      </c>
      <c r="U33" s="5" t="str">
        <f t="shared" si="3"/>
        <v>Supera los requisitos</v>
      </c>
      <c r="V33" s="5" t="s">
        <v>421</v>
      </c>
      <c r="W33" s="5" t="s">
        <v>157</v>
      </c>
      <c r="X33" s="5"/>
      <c r="Y33" s="5" t="s">
        <v>355</v>
      </c>
      <c r="Z33" s="5"/>
    </row>
    <row r="34" spans="1:26" ht="90" x14ac:dyDescent="0.25">
      <c r="A34" s="5" t="s">
        <v>174</v>
      </c>
      <c r="B34" s="5" t="s">
        <v>35</v>
      </c>
      <c r="C34" s="5" t="s">
        <v>38</v>
      </c>
      <c r="D34" s="5" t="s">
        <v>183</v>
      </c>
      <c r="E34" s="5" t="s">
        <v>184</v>
      </c>
      <c r="F34" s="5" t="s">
        <v>368</v>
      </c>
      <c r="G34" s="5" t="s">
        <v>369</v>
      </c>
      <c r="H34" s="5" t="s">
        <v>370</v>
      </c>
      <c r="I34" s="5" t="s">
        <v>344</v>
      </c>
      <c r="J34" s="5" t="s">
        <v>345</v>
      </c>
      <c r="K34" s="5" t="s">
        <v>408</v>
      </c>
      <c r="L34" s="5">
        <v>0.98299999999999998</v>
      </c>
      <c r="M34" s="5"/>
      <c r="N34" s="5" t="s">
        <v>180</v>
      </c>
      <c r="O34" s="5">
        <f t="shared" si="0"/>
        <v>0.98299999999999998</v>
      </c>
      <c r="P34" s="5" t="s">
        <v>181</v>
      </c>
      <c r="Q34" s="5" t="s">
        <v>182</v>
      </c>
      <c r="R34" s="5">
        <v>2.5</v>
      </c>
      <c r="S34" s="5" t="str">
        <f t="shared" si="1"/>
        <v>Aprobado</v>
      </c>
      <c r="T34" s="5">
        <f t="shared" si="2"/>
        <v>100</v>
      </c>
      <c r="U34" s="5" t="str">
        <f t="shared" si="3"/>
        <v>Supera los requisitos</v>
      </c>
      <c r="V34" s="5" t="s">
        <v>422</v>
      </c>
      <c r="W34" s="5" t="s">
        <v>157</v>
      </c>
      <c r="X34" s="5"/>
      <c r="Y34" s="5" t="s">
        <v>355</v>
      </c>
      <c r="Z34" s="5"/>
    </row>
    <row r="35" spans="1:26" ht="90" x14ac:dyDescent="0.25">
      <c r="A35" s="5" t="s">
        <v>174</v>
      </c>
      <c r="B35" s="5" t="s">
        <v>35</v>
      </c>
      <c r="C35" s="5" t="s">
        <v>38</v>
      </c>
      <c r="D35" s="5" t="s">
        <v>183</v>
      </c>
      <c r="E35" s="5" t="s">
        <v>184</v>
      </c>
      <c r="F35" s="5" t="s">
        <v>372</v>
      </c>
      <c r="G35" s="5" t="s">
        <v>373</v>
      </c>
      <c r="H35" s="5" t="s">
        <v>374</v>
      </c>
      <c r="I35" s="5" t="s">
        <v>344</v>
      </c>
      <c r="J35" s="5" t="s">
        <v>345</v>
      </c>
      <c r="K35" s="5" t="s">
        <v>408</v>
      </c>
      <c r="L35" s="5">
        <v>0.98199999999999998</v>
      </c>
      <c r="M35" s="5"/>
      <c r="N35" s="5" t="s">
        <v>180</v>
      </c>
      <c r="O35" s="5">
        <f t="shared" si="0"/>
        <v>0.98199999999999998</v>
      </c>
      <c r="P35" s="5" t="s">
        <v>181</v>
      </c>
      <c r="Q35" s="5" t="s">
        <v>182</v>
      </c>
      <c r="R35" s="5">
        <v>2.5</v>
      </c>
      <c r="S35" s="5" t="str">
        <f t="shared" si="1"/>
        <v>Aprobado</v>
      </c>
      <c r="T35" s="5">
        <f t="shared" si="2"/>
        <v>100</v>
      </c>
      <c r="U35" s="5" t="str">
        <f t="shared" si="3"/>
        <v>Supera los requisitos</v>
      </c>
      <c r="V35" s="5" t="s">
        <v>423</v>
      </c>
      <c r="W35" s="5" t="s">
        <v>157</v>
      </c>
      <c r="X35" s="5"/>
      <c r="Y35" s="5" t="s">
        <v>355</v>
      </c>
      <c r="Z35" s="5"/>
    </row>
    <row r="36" spans="1:26" ht="90" x14ac:dyDescent="0.25">
      <c r="A36" s="5" t="s">
        <v>174</v>
      </c>
      <c r="B36" s="5" t="s">
        <v>35</v>
      </c>
      <c r="C36" s="5" t="s">
        <v>38</v>
      </c>
      <c r="D36" s="5" t="s">
        <v>183</v>
      </c>
      <c r="E36" s="5" t="s">
        <v>184</v>
      </c>
      <c r="F36" s="5" t="s">
        <v>378</v>
      </c>
      <c r="G36" s="5" t="s">
        <v>379</v>
      </c>
      <c r="H36" s="5" t="s">
        <v>380</v>
      </c>
      <c r="I36" s="5" t="s">
        <v>344</v>
      </c>
      <c r="J36" s="5" t="s">
        <v>345</v>
      </c>
      <c r="K36" s="5" t="s">
        <v>408</v>
      </c>
      <c r="L36" s="5">
        <v>0.98199999999999998</v>
      </c>
      <c r="M36" s="5"/>
      <c r="N36" s="5" t="s">
        <v>180</v>
      </c>
      <c r="O36" s="5">
        <f t="shared" si="0"/>
        <v>0.98199999999999998</v>
      </c>
      <c r="P36" s="5" t="s">
        <v>181</v>
      </c>
      <c r="Q36" s="5" t="s">
        <v>182</v>
      </c>
      <c r="R36" s="5">
        <v>2.5</v>
      </c>
      <c r="S36" s="5" t="str">
        <f t="shared" si="1"/>
        <v>Aprobado</v>
      </c>
      <c r="T36" s="5">
        <f t="shared" si="2"/>
        <v>100</v>
      </c>
      <c r="U36" s="5" t="str">
        <f t="shared" si="3"/>
        <v>Supera los requisitos</v>
      </c>
      <c r="V36" s="5" t="s">
        <v>424</v>
      </c>
      <c r="W36" s="5" t="s">
        <v>157</v>
      </c>
      <c r="X36" s="5"/>
      <c r="Y36" s="5" t="s">
        <v>355</v>
      </c>
      <c r="Z36" s="5"/>
    </row>
    <row r="37" spans="1:26" ht="90" x14ac:dyDescent="0.25">
      <c r="A37" s="5" t="s">
        <v>174</v>
      </c>
      <c r="B37" s="5" t="s">
        <v>35</v>
      </c>
      <c r="C37" s="5" t="s">
        <v>38</v>
      </c>
      <c r="D37" s="5" t="s">
        <v>183</v>
      </c>
      <c r="E37" s="5" t="s">
        <v>184</v>
      </c>
      <c r="F37" s="5" t="s">
        <v>384</v>
      </c>
      <c r="G37" s="5" t="s">
        <v>385</v>
      </c>
      <c r="H37" s="5" t="s">
        <v>386</v>
      </c>
      <c r="I37" s="5" t="s">
        <v>344</v>
      </c>
      <c r="J37" s="5" t="s">
        <v>345</v>
      </c>
      <c r="K37" s="5" t="s">
        <v>408</v>
      </c>
      <c r="L37" s="5">
        <v>0.98299999999999998</v>
      </c>
      <c r="M37" s="5"/>
      <c r="N37" s="5" t="s">
        <v>180</v>
      </c>
      <c r="O37" s="5">
        <f t="shared" si="0"/>
        <v>0.98299999999999998</v>
      </c>
      <c r="P37" s="5" t="s">
        <v>181</v>
      </c>
      <c r="Q37" s="5" t="s">
        <v>182</v>
      </c>
      <c r="R37" s="5">
        <v>2.5</v>
      </c>
      <c r="S37" s="5" t="str">
        <f t="shared" si="1"/>
        <v>Aprobado</v>
      </c>
      <c r="T37" s="5">
        <f t="shared" si="2"/>
        <v>100</v>
      </c>
      <c r="U37" s="5" t="str">
        <f t="shared" si="3"/>
        <v>Supera los requisitos</v>
      </c>
      <c r="V37" s="5" t="s">
        <v>425</v>
      </c>
      <c r="W37" s="5" t="s">
        <v>157</v>
      </c>
      <c r="X37" s="5"/>
      <c r="Y37" s="5" t="s">
        <v>355</v>
      </c>
      <c r="Z37" s="5"/>
    </row>
    <row r="38" spans="1:26" ht="90" x14ac:dyDescent="0.25">
      <c r="A38" s="5" t="s">
        <v>186</v>
      </c>
      <c r="B38" s="5" t="s">
        <v>35</v>
      </c>
      <c r="C38" s="5" t="s">
        <v>38</v>
      </c>
      <c r="D38" s="5" t="s">
        <v>192</v>
      </c>
      <c r="E38" s="5" t="s">
        <v>193</v>
      </c>
      <c r="F38" s="5" t="s">
        <v>341</v>
      </c>
      <c r="G38" s="5" t="s">
        <v>342</v>
      </c>
      <c r="H38" s="5" t="s">
        <v>343</v>
      </c>
      <c r="I38" s="5" t="s">
        <v>344</v>
      </c>
      <c r="J38" s="5" t="s">
        <v>345</v>
      </c>
      <c r="K38" s="5" t="s">
        <v>408</v>
      </c>
      <c r="L38" s="5">
        <v>42.8</v>
      </c>
      <c r="M38" s="5"/>
      <c r="N38" s="5" t="s">
        <v>180</v>
      </c>
      <c r="O38" s="5">
        <f t="shared" si="0"/>
        <v>42.8</v>
      </c>
      <c r="P38" s="5" t="s">
        <v>191</v>
      </c>
      <c r="Q38" s="5" t="s">
        <v>182</v>
      </c>
      <c r="R38" s="5">
        <v>200</v>
      </c>
      <c r="S38" s="5" t="str">
        <f t="shared" si="1"/>
        <v>Aprobado</v>
      </c>
      <c r="T38" s="5">
        <f t="shared" si="2"/>
        <v>100</v>
      </c>
      <c r="U38" s="5" t="str">
        <f t="shared" si="3"/>
        <v>Supera los requisitos</v>
      </c>
      <c r="V38" s="5" t="s">
        <v>426</v>
      </c>
      <c r="W38" s="5" t="s">
        <v>157</v>
      </c>
      <c r="X38" s="5"/>
      <c r="Y38" s="5" t="s">
        <v>355</v>
      </c>
      <c r="Z38" s="5"/>
    </row>
    <row r="39" spans="1:26" ht="90" x14ac:dyDescent="0.25">
      <c r="A39" s="5" t="s">
        <v>186</v>
      </c>
      <c r="B39" s="5" t="s">
        <v>35</v>
      </c>
      <c r="C39" s="5" t="s">
        <v>38</v>
      </c>
      <c r="D39" s="5" t="s">
        <v>192</v>
      </c>
      <c r="E39" s="5" t="s">
        <v>193</v>
      </c>
      <c r="F39" s="5" t="s">
        <v>351</v>
      </c>
      <c r="G39" s="5" t="s">
        <v>352</v>
      </c>
      <c r="H39" s="5" t="s">
        <v>353</v>
      </c>
      <c r="I39" s="5" t="s">
        <v>344</v>
      </c>
      <c r="J39" s="5" t="s">
        <v>345</v>
      </c>
      <c r="K39" s="5" t="s">
        <v>408</v>
      </c>
      <c r="L39" s="5">
        <v>42.4</v>
      </c>
      <c r="M39" s="5"/>
      <c r="N39" s="5" t="s">
        <v>180</v>
      </c>
      <c r="O39" s="5">
        <f t="shared" si="0"/>
        <v>42.4</v>
      </c>
      <c r="P39" s="5" t="s">
        <v>191</v>
      </c>
      <c r="Q39" s="5" t="s">
        <v>182</v>
      </c>
      <c r="R39" s="5">
        <v>200</v>
      </c>
      <c r="S39" s="5" t="str">
        <f t="shared" si="1"/>
        <v>Aprobado</v>
      </c>
      <c r="T39" s="5">
        <f t="shared" si="2"/>
        <v>100</v>
      </c>
      <c r="U39" s="5" t="str">
        <f t="shared" si="3"/>
        <v>Supera los requisitos</v>
      </c>
      <c r="V39" s="5" t="s">
        <v>427</v>
      </c>
      <c r="W39" s="5" t="s">
        <v>157</v>
      </c>
      <c r="X39" s="5"/>
      <c r="Y39" s="5" t="s">
        <v>355</v>
      </c>
      <c r="Z39" s="5"/>
    </row>
    <row r="40" spans="1:26" ht="90" x14ac:dyDescent="0.25">
      <c r="A40" s="5" t="s">
        <v>186</v>
      </c>
      <c r="B40" s="5" t="s">
        <v>35</v>
      </c>
      <c r="C40" s="5" t="s">
        <v>38</v>
      </c>
      <c r="D40" s="5" t="s">
        <v>192</v>
      </c>
      <c r="E40" s="5" t="s">
        <v>193</v>
      </c>
      <c r="F40" s="5" t="s">
        <v>356</v>
      </c>
      <c r="G40" s="5" t="s">
        <v>357</v>
      </c>
      <c r="H40" s="5" t="s">
        <v>358</v>
      </c>
      <c r="I40" s="5" t="s">
        <v>344</v>
      </c>
      <c r="J40" s="5" t="s">
        <v>345</v>
      </c>
      <c r="K40" s="5" t="s">
        <v>408</v>
      </c>
      <c r="L40" s="5">
        <v>38.5</v>
      </c>
      <c r="M40" s="5"/>
      <c r="N40" s="5" t="s">
        <v>180</v>
      </c>
      <c r="O40" s="5">
        <f t="shared" si="0"/>
        <v>38.5</v>
      </c>
      <c r="P40" s="5" t="s">
        <v>191</v>
      </c>
      <c r="Q40" s="5" t="s">
        <v>182</v>
      </c>
      <c r="R40" s="5">
        <v>200</v>
      </c>
      <c r="S40" s="5" t="str">
        <f t="shared" si="1"/>
        <v>Aprobado</v>
      </c>
      <c r="T40" s="5">
        <f t="shared" si="2"/>
        <v>100</v>
      </c>
      <c r="U40" s="5" t="str">
        <f t="shared" si="3"/>
        <v>Supera los requisitos</v>
      </c>
      <c r="V40" s="5" t="s">
        <v>428</v>
      </c>
      <c r="W40" s="5" t="s">
        <v>157</v>
      </c>
      <c r="X40" s="5"/>
      <c r="Y40" s="5" t="s">
        <v>355</v>
      </c>
      <c r="Z40" s="5"/>
    </row>
    <row r="41" spans="1:26" ht="90" x14ac:dyDescent="0.25">
      <c r="A41" s="5" t="s">
        <v>186</v>
      </c>
      <c r="B41" s="5" t="s">
        <v>35</v>
      </c>
      <c r="C41" s="5" t="s">
        <v>38</v>
      </c>
      <c r="D41" s="5" t="s">
        <v>192</v>
      </c>
      <c r="E41" s="5" t="s">
        <v>193</v>
      </c>
      <c r="F41" s="5" t="s">
        <v>360</v>
      </c>
      <c r="G41" s="5" t="s">
        <v>361</v>
      </c>
      <c r="H41" s="5" t="s">
        <v>362</v>
      </c>
      <c r="I41" s="5" t="s">
        <v>344</v>
      </c>
      <c r="J41" s="5" t="s">
        <v>345</v>
      </c>
      <c r="K41" s="5" t="s">
        <v>408</v>
      </c>
      <c r="L41" s="5">
        <v>38.5</v>
      </c>
      <c r="M41" s="5"/>
      <c r="N41" s="5" t="s">
        <v>180</v>
      </c>
      <c r="O41" s="5">
        <f t="shared" si="0"/>
        <v>38.5</v>
      </c>
      <c r="P41" s="5" t="s">
        <v>191</v>
      </c>
      <c r="Q41" s="5" t="s">
        <v>182</v>
      </c>
      <c r="R41" s="5">
        <v>200</v>
      </c>
      <c r="S41" s="5" t="str">
        <f t="shared" si="1"/>
        <v>Aprobado</v>
      </c>
      <c r="T41" s="5">
        <f t="shared" si="2"/>
        <v>100</v>
      </c>
      <c r="U41" s="5" t="str">
        <f t="shared" si="3"/>
        <v>Supera los requisitos</v>
      </c>
      <c r="V41" s="5" t="s">
        <v>429</v>
      </c>
      <c r="W41" s="5" t="s">
        <v>157</v>
      </c>
      <c r="X41" s="5"/>
      <c r="Y41" s="5" t="s">
        <v>355</v>
      </c>
      <c r="Z41" s="5"/>
    </row>
    <row r="42" spans="1:26" ht="90" x14ac:dyDescent="0.25">
      <c r="A42" s="5" t="s">
        <v>186</v>
      </c>
      <c r="B42" s="5" t="s">
        <v>35</v>
      </c>
      <c r="C42" s="5" t="s">
        <v>38</v>
      </c>
      <c r="D42" s="5" t="s">
        <v>192</v>
      </c>
      <c r="E42" s="5" t="s">
        <v>193</v>
      </c>
      <c r="F42" s="5" t="s">
        <v>364</v>
      </c>
      <c r="G42" s="5" t="s">
        <v>365</v>
      </c>
      <c r="H42" s="5" t="s">
        <v>366</v>
      </c>
      <c r="I42" s="5" t="s">
        <v>344</v>
      </c>
      <c r="J42" s="5" t="s">
        <v>345</v>
      </c>
      <c r="K42" s="5" t="s">
        <v>408</v>
      </c>
      <c r="L42" s="5">
        <v>36.9</v>
      </c>
      <c r="M42" s="5"/>
      <c r="N42" s="5" t="s">
        <v>180</v>
      </c>
      <c r="O42" s="5">
        <f t="shared" si="0"/>
        <v>36.9</v>
      </c>
      <c r="P42" s="5" t="s">
        <v>191</v>
      </c>
      <c r="Q42" s="5" t="s">
        <v>182</v>
      </c>
      <c r="R42" s="5">
        <v>200</v>
      </c>
      <c r="S42" s="5" t="str">
        <f t="shared" si="1"/>
        <v>Aprobado</v>
      </c>
      <c r="T42" s="5">
        <f t="shared" si="2"/>
        <v>100</v>
      </c>
      <c r="U42" s="5" t="str">
        <f t="shared" si="3"/>
        <v>Supera los requisitos</v>
      </c>
      <c r="V42" s="5" t="s">
        <v>430</v>
      </c>
      <c r="W42" s="5" t="s">
        <v>157</v>
      </c>
      <c r="X42" s="5"/>
      <c r="Y42" s="5" t="s">
        <v>355</v>
      </c>
      <c r="Z42" s="5"/>
    </row>
    <row r="43" spans="1:26" ht="90" x14ac:dyDescent="0.25">
      <c r="A43" s="5" t="s">
        <v>186</v>
      </c>
      <c r="B43" s="5" t="s">
        <v>35</v>
      </c>
      <c r="C43" s="5" t="s">
        <v>38</v>
      </c>
      <c r="D43" s="5" t="s">
        <v>192</v>
      </c>
      <c r="E43" s="5" t="s">
        <v>193</v>
      </c>
      <c r="F43" s="5" t="s">
        <v>368</v>
      </c>
      <c r="G43" s="5" t="s">
        <v>369</v>
      </c>
      <c r="H43" s="5" t="s">
        <v>370</v>
      </c>
      <c r="I43" s="5" t="s">
        <v>344</v>
      </c>
      <c r="J43" s="5" t="s">
        <v>345</v>
      </c>
      <c r="K43" s="5" t="s">
        <v>408</v>
      </c>
      <c r="L43" s="5">
        <v>36.6</v>
      </c>
      <c r="M43" s="5"/>
      <c r="N43" s="5" t="s">
        <v>180</v>
      </c>
      <c r="O43" s="5">
        <f t="shared" si="0"/>
        <v>36.6</v>
      </c>
      <c r="P43" s="5" t="s">
        <v>191</v>
      </c>
      <c r="Q43" s="5" t="s">
        <v>182</v>
      </c>
      <c r="R43" s="5">
        <v>200</v>
      </c>
      <c r="S43" s="5" t="str">
        <f t="shared" si="1"/>
        <v>Aprobado</v>
      </c>
      <c r="T43" s="5">
        <f t="shared" si="2"/>
        <v>100</v>
      </c>
      <c r="U43" s="5" t="str">
        <f t="shared" si="3"/>
        <v>Supera los requisitos</v>
      </c>
      <c r="V43" s="5" t="s">
        <v>431</v>
      </c>
      <c r="W43" s="5" t="s">
        <v>157</v>
      </c>
      <c r="X43" s="5"/>
      <c r="Y43" s="5" t="s">
        <v>355</v>
      </c>
      <c r="Z43" s="5"/>
    </row>
    <row r="44" spans="1:26" ht="90" x14ac:dyDescent="0.25">
      <c r="A44" s="5" t="s">
        <v>186</v>
      </c>
      <c r="B44" s="5" t="s">
        <v>35</v>
      </c>
      <c r="C44" s="5" t="s">
        <v>38</v>
      </c>
      <c r="D44" s="5" t="s">
        <v>192</v>
      </c>
      <c r="E44" s="5" t="s">
        <v>193</v>
      </c>
      <c r="F44" s="5" t="s">
        <v>372</v>
      </c>
      <c r="G44" s="5" t="s">
        <v>373</v>
      </c>
      <c r="H44" s="5" t="s">
        <v>374</v>
      </c>
      <c r="I44" s="5" t="s">
        <v>344</v>
      </c>
      <c r="J44" s="5" t="s">
        <v>345</v>
      </c>
      <c r="K44" s="5" t="s">
        <v>408</v>
      </c>
      <c r="L44" s="5">
        <v>37.1</v>
      </c>
      <c r="M44" s="5"/>
      <c r="N44" s="5" t="s">
        <v>180</v>
      </c>
      <c r="O44" s="5">
        <f t="shared" si="0"/>
        <v>37.1</v>
      </c>
      <c r="P44" s="5" t="s">
        <v>191</v>
      </c>
      <c r="Q44" s="5" t="s">
        <v>182</v>
      </c>
      <c r="R44" s="5">
        <v>200</v>
      </c>
      <c r="S44" s="5" t="str">
        <f t="shared" si="1"/>
        <v>Aprobado</v>
      </c>
      <c r="T44" s="5">
        <f t="shared" si="2"/>
        <v>100</v>
      </c>
      <c r="U44" s="5" t="str">
        <f t="shared" si="3"/>
        <v>Supera los requisitos</v>
      </c>
      <c r="V44" s="5" t="s">
        <v>432</v>
      </c>
      <c r="W44" s="5" t="s">
        <v>157</v>
      </c>
      <c r="X44" s="5"/>
      <c r="Y44" s="5" t="s">
        <v>355</v>
      </c>
      <c r="Z44" s="5"/>
    </row>
    <row r="45" spans="1:26" ht="90" x14ac:dyDescent="0.25">
      <c r="A45" s="5" t="s">
        <v>186</v>
      </c>
      <c r="B45" s="5" t="s">
        <v>35</v>
      </c>
      <c r="C45" s="5" t="s">
        <v>38</v>
      </c>
      <c r="D45" s="5" t="s">
        <v>192</v>
      </c>
      <c r="E45" s="5" t="s">
        <v>193</v>
      </c>
      <c r="F45" s="5" t="s">
        <v>378</v>
      </c>
      <c r="G45" s="5" t="s">
        <v>379</v>
      </c>
      <c r="H45" s="5" t="s">
        <v>380</v>
      </c>
      <c r="I45" s="5" t="s">
        <v>344</v>
      </c>
      <c r="J45" s="5" t="s">
        <v>345</v>
      </c>
      <c r="K45" s="5" t="s">
        <v>408</v>
      </c>
      <c r="L45" s="5">
        <v>38.799999999999997</v>
      </c>
      <c r="M45" s="5"/>
      <c r="N45" s="5" t="s">
        <v>180</v>
      </c>
      <c r="O45" s="5">
        <f t="shared" si="0"/>
        <v>38.799999999999997</v>
      </c>
      <c r="P45" s="5" t="s">
        <v>191</v>
      </c>
      <c r="Q45" s="5" t="s">
        <v>182</v>
      </c>
      <c r="R45" s="5">
        <v>200</v>
      </c>
      <c r="S45" s="5" t="str">
        <f t="shared" si="1"/>
        <v>Aprobado</v>
      </c>
      <c r="T45" s="5">
        <f t="shared" si="2"/>
        <v>100</v>
      </c>
      <c r="U45" s="5" t="str">
        <f t="shared" si="3"/>
        <v>Supera los requisitos</v>
      </c>
      <c r="V45" s="5" t="s">
        <v>433</v>
      </c>
      <c r="W45" s="5" t="s">
        <v>157</v>
      </c>
      <c r="X45" s="5"/>
      <c r="Y45" s="5" t="s">
        <v>355</v>
      </c>
      <c r="Z45" s="5"/>
    </row>
    <row r="46" spans="1:26" ht="90" x14ac:dyDescent="0.25">
      <c r="A46" s="5" t="s">
        <v>186</v>
      </c>
      <c r="B46" s="5" t="s">
        <v>35</v>
      </c>
      <c r="C46" s="5" t="s">
        <v>38</v>
      </c>
      <c r="D46" s="5" t="s">
        <v>192</v>
      </c>
      <c r="E46" s="5" t="s">
        <v>193</v>
      </c>
      <c r="F46" s="5" t="s">
        <v>384</v>
      </c>
      <c r="G46" s="5" t="s">
        <v>385</v>
      </c>
      <c r="H46" s="5" t="s">
        <v>386</v>
      </c>
      <c r="I46" s="5" t="s">
        <v>344</v>
      </c>
      <c r="J46" s="5" t="s">
        <v>345</v>
      </c>
      <c r="K46" s="5" t="s">
        <v>408</v>
      </c>
      <c r="L46" s="5">
        <v>39.200000000000003</v>
      </c>
      <c r="M46" s="5"/>
      <c r="N46" s="5" t="s">
        <v>180</v>
      </c>
      <c r="O46" s="5">
        <f t="shared" si="0"/>
        <v>39.200000000000003</v>
      </c>
      <c r="P46" s="5" t="s">
        <v>191</v>
      </c>
      <c r="Q46" s="5" t="s">
        <v>182</v>
      </c>
      <c r="R46" s="5">
        <v>200</v>
      </c>
      <c r="S46" s="5" t="str">
        <f t="shared" si="1"/>
        <v>Aprobado</v>
      </c>
      <c r="T46" s="5">
        <f t="shared" si="2"/>
        <v>100</v>
      </c>
      <c r="U46" s="5" t="str">
        <f t="shared" si="3"/>
        <v>Supera los requisitos</v>
      </c>
      <c r="V46" s="5" t="s">
        <v>434</v>
      </c>
      <c r="W46" s="5" t="s">
        <v>157</v>
      </c>
      <c r="X46" s="5"/>
      <c r="Y46" s="5" t="s">
        <v>355</v>
      </c>
      <c r="Z46" s="5"/>
    </row>
    <row r="47" spans="1:26" ht="90" x14ac:dyDescent="0.25">
      <c r="A47" s="5" t="s">
        <v>41</v>
      </c>
      <c r="B47" s="5" t="s">
        <v>35</v>
      </c>
      <c r="C47" s="5" t="s">
        <v>40</v>
      </c>
      <c r="D47" s="5" t="s">
        <v>200</v>
      </c>
      <c r="E47" s="5" t="s">
        <v>184</v>
      </c>
      <c r="F47" s="5" t="s">
        <v>341</v>
      </c>
      <c r="G47" s="5" t="s">
        <v>342</v>
      </c>
      <c r="H47" s="5" t="s">
        <v>343</v>
      </c>
      <c r="I47" s="5" t="s">
        <v>344</v>
      </c>
      <c r="J47" s="5" t="s">
        <v>345</v>
      </c>
      <c r="K47" s="5" t="s">
        <v>408</v>
      </c>
      <c r="L47" s="5">
        <v>276.12099999999998</v>
      </c>
      <c r="M47" s="5"/>
      <c r="N47" s="5" t="s">
        <v>180</v>
      </c>
      <c r="O47" s="5">
        <f t="shared" si="0"/>
        <v>276.12099999999998</v>
      </c>
      <c r="P47" s="5" t="s">
        <v>199</v>
      </c>
      <c r="Q47" s="5" t="s">
        <v>182</v>
      </c>
      <c r="R47" s="5">
        <v>1000</v>
      </c>
      <c r="S47" s="5" t="str">
        <f t="shared" si="1"/>
        <v>Aprobado</v>
      </c>
      <c r="T47" s="5">
        <f t="shared" si="2"/>
        <v>100</v>
      </c>
      <c r="U47" s="5" t="str">
        <f t="shared" si="3"/>
        <v>Supera los requisitos</v>
      </c>
      <c r="V47" s="5" t="s">
        <v>435</v>
      </c>
      <c r="W47" s="5" t="s">
        <v>157</v>
      </c>
      <c r="X47" s="5"/>
      <c r="Y47" s="5" t="s">
        <v>355</v>
      </c>
      <c r="Z47" s="5"/>
    </row>
    <row r="48" spans="1:26" ht="90" x14ac:dyDescent="0.25">
      <c r="A48" s="5" t="s">
        <v>41</v>
      </c>
      <c r="B48" s="5" t="s">
        <v>35</v>
      </c>
      <c r="C48" s="5" t="s">
        <v>40</v>
      </c>
      <c r="D48" s="5" t="s">
        <v>200</v>
      </c>
      <c r="E48" s="5" t="s">
        <v>184</v>
      </c>
      <c r="F48" s="5" t="s">
        <v>351</v>
      </c>
      <c r="G48" s="5" t="s">
        <v>352</v>
      </c>
      <c r="H48" s="5" t="s">
        <v>353</v>
      </c>
      <c r="I48" s="5" t="s">
        <v>344</v>
      </c>
      <c r="J48" s="5" t="s">
        <v>345</v>
      </c>
      <c r="K48" s="5" t="s">
        <v>408</v>
      </c>
      <c r="L48" s="5">
        <v>333.27499999999998</v>
      </c>
      <c r="M48" s="5"/>
      <c r="N48" s="5" t="s">
        <v>180</v>
      </c>
      <c r="O48" s="5">
        <f t="shared" si="0"/>
        <v>333.27499999999998</v>
      </c>
      <c r="P48" s="5" t="s">
        <v>199</v>
      </c>
      <c r="Q48" s="5" t="s">
        <v>182</v>
      </c>
      <c r="R48" s="5">
        <v>1000</v>
      </c>
      <c r="S48" s="5" t="str">
        <f t="shared" si="1"/>
        <v>Aprobado</v>
      </c>
      <c r="T48" s="5">
        <f t="shared" si="2"/>
        <v>100</v>
      </c>
      <c r="U48" s="5" t="str">
        <f t="shared" si="3"/>
        <v>Supera los requisitos</v>
      </c>
      <c r="V48" s="5" t="s">
        <v>436</v>
      </c>
      <c r="W48" s="5" t="s">
        <v>157</v>
      </c>
      <c r="X48" s="5"/>
      <c r="Y48" s="5" t="s">
        <v>355</v>
      </c>
      <c r="Z48" s="5"/>
    </row>
    <row r="49" spans="1:26" ht="90" x14ac:dyDescent="0.25">
      <c r="A49" s="5" t="s">
        <v>41</v>
      </c>
      <c r="B49" s="5" t="s">
        <v>35</v>
      </c>
      <c r="C49" s="5" t="s">
        <v>40</v>
      </c>
      <c r="D49" s="5" t="s">
        <v>200</v>
      </c>
      <c r="E49" s="5" t="s">
        <v>184</v>
      </c>
      <c r="F49" s="5" t="s">
        <v>356</v>
      </c>
      <c r="G49" s="5" t="s">
        <v>357</v>
      </c>
      <c r="H49" s="5" t="s">
        <v>358</v>
      </c>
      <c r="I49" s="5" t="s">
        <v>344</v>
      </c>
      <c r="J49" s="5" t="s">
        <v>345</v>
      </c>
      <c r="K49" s="5" t="s">
        <v>408</v>
      </c>
      <c r="L49" s="5">
        <v>333.29</v>
      </c>
      <c r="M49" s="5"/>
      <c r="N49" s="5" t="s">
        <v>180</v>
      </c>
      <c r="O49" s="5">
        <f t="shared" si="0"/>
        <v>333.29</v>
      </c>
      <c r="P49" s="5" t="s">
        <v>199</v>
      </c>
      <c r="Q49" s="5" t="s">
        <v>182</v>
      </c>
      <c r="R49" s="5">
        <v>1000</v>
      </c>
      <c r="S49" s="5" t="str">
        <f t="shared" si="1"/>
        <v>Aprobado</v>
      </c>
      <c r="T49" s="5">
        <f t="shared" si="2"/>
        <v>100</v>
      </c>
      <c r="U49" s="5" t="str">
        <f t="shared" si="3"/>
        <v>Supera los requisitos</v>
      </c>
      <c r="V49" s="5" t="s">
        <v>437</v>
      </c>
      <c r="W49" s="5" t="s">
        <v>157</v>
      </c>
      <c r="X49" s="5"/>
      <c r="Y49" s="5" t="s">
        <v>355</v>
      </c>
      <c r="Z49" s="5"/>
    </row>
    <row r="50" spans="1:26" ht="90" x14ac:dyDescent="0.25">
      <c r="A50" s="5" t="s">
        <v>41</v>
      </c>
      <c r="B50" s="5" t="s">
        <v>35</v>
      </c>
      <c r="C50" s="5" t="s">
        <v>40</v>
      </c>
      <c r="D50" s="5" t="s">
        <v>200</v>
      </c>
      <c r="E50" s="5" t="s">
        <v>184</v>
      </c>
      <c r="F50" s="5" t="s">
        <v>360</v>
      </c>
      <c r="G50" s="5" t="s">
        <v>361</v>
      </c>
      <c r="H50" s="5" t="s">
        <v>362</v>
      </c>
      <c r="I50" s="5" t="s">
        <v>344</v>
      </c>
      <c r="J50" s="5" t="s">
        <v>345</v>
      </c>
      <c r="K50" s="5" t="s">
        <v>408</v>
      </c>
      <c r="L50" s="5">
        <v>333.71</v>
      </c>
      <c r="M50" s="5"/>
      <c r="N50" s="5" t="s">
        <v>180</v>
      </c>
      <c r="O50" s="5">
        <f t="shared" si="0"/>
        <v>333.71</v>
      </c>
      <c r="P50" s="5" t="s">
        <v>199</v>
      </c>
      <c r="Q50" s="5" t="s">
        <v>182</v>
      </c>
      <c r="R50" s="5">
        <v>1000</v>
      </c>
      <c r="S50" s="5" t="str">
        <f t="shared" si="1"/>
        <v>Aprobado</v>
      </c>
      <c r="T50" s="5">
        <f t="shared" si="2"/>
        <v>100</v>
      </c>
      <c r="U50" s="5" t="str">
        <f t="shared" si="3"/>
        <v>Supera los requisitos</v>
      </c>
      <c r="V50" s="5" t="s">
        <v>438</v>
      </c>
      <c r="W50" s="5" t="s">
        <v>157</v>
      </c>
      <c r="X50" s="5"/>
      <c r="Y50" s="5" t="s">
        <v>355</v>
      </c>
      <c r="Z50" s="5"/>
    </row>
    <row r="51" spans="1:26" ht="90" x14ac:dyDescent="0.25">
      <c r="A51" s="5" t="s">
        <v>41</v>
      </c>
      <c r="B51" s="5" t="s">
        <v>35</v>
      </c>
      <c r="C51" s="5" t="s">
        <v>40</v>
      </c>
      <c r="D51" s="5" t="s">
        <v>200</v>
      </c>
      <c r="E51" s="5" t="s">
        <v>184</v>
      </c>
      <c r="F51" s="5" t="s">
        <v>364</v>
      </c>
      <c r="G51" s="5" t="s">
        <v>365</v>
      </c>
      <c r="H51" s="5" t="s">
        <v>366</v>
      </c>
      <c r="I51" s="5" t="s">
        <v>344</v>
      </c>
      <c r="J51" s="5" t="s">
        <v>345</v>
      </c>
      <c r="K51" s="5" t="s">
        <v>408</v>
      </c>
      <c r="L51" s="5">
        <v>334.12099999999998</v>
      </c>
      <c r="M51" s="5"/>
      <c r="N51" s="5" t="s">
        <v>180</v>
      </c>
      <c r="O51" s="5">
        <f t="shared" si="0"/>
        <v>334.12099999999998</v>
      </c>
      <c r="P51" s="5" t="s">
        <v>199</v>
      </c>
      <c r="Q51" s="5" t="s">
        <v>182</v>
      </c>
      <c r="R51" s="5">
        <v>1000</v>
      </c>
      <c r="S51" s="5" t="str">
        <f t="shared" si="1"/>
        <v>Aprobado</v>
      </c>
      <c r="T51" s="5">
        <f t="shared" si="2"/>
        <v>100</v>
      </c>
      <c r="U51" s="5" t="str">
        <f t="shared" si="3"/>
        <v>Supera los requisitos</v>
      </c>
      <c r="V51" s="5" t="s">
        <v>439</v>
      </c>
      <c r="W51" s="5" t="s">
        <v>157</v>
      </c>
      <c r="X51" s="5"/>
      <c r="Y51" s="5" t="s">
        <v>355</v>
      </c>
      <c r="Z51" s="5"/>
    </row>
    <row r="52" spans="1:26" ht="90" x14ac:dyDescent="0.25">
      <c r="A52" s="5" t="s">
        <v>41</v>
      </c>
      <c r="B52" s="5" t="s">
        <v>35</v>
      </c>
      <c r="C52" s="5" t="s">
        <v>40</v>
      </c>
      <c r="D52" s="5" t="s">
        <v>200</v>
      </c>
      <c r="E52" s="5" t="s">
        <v>184</v>
      </c>
      <c r="F52" s="5" t="s">
        <v>368</v>
      </c>
      <c r="G52" s="5" t="s">
        <v>369</v>
      </c>
      <c r="H52" s="5" t="s">
        <v>370</v>
      </c>
      <c r="I52" s="5" t="s">
        <v>344</v>
      </c>
      <c r="J52" s="5" t="s">
        <v>345</v>
      </c>
      <c r="K52" s="5" t="s">
        <v>408</v>
      </c>
      <c r="L52" s="5">
        <v>334.08499999999998</v>
      </c>
      <c r="M52" s="5"/>
      <c r="N52" s="5" t="s">
        <v>180</v>
      </c>
      <c r="O52" s="5">
        <f t="shared" si="0"/>
        <v>334.08499999999998</v>
      </c>
      <c r="P52" s="5" t="s">
        <v>199</v>
      </c>
      <c r="Q52" s="5" t="s">
        <v>182</v>
      </c>
      <c r="R52" s="5">
        <v>1000</v>
      </c>
      <c r="S52" s="5" t="str">
        <f t="shared" si="1"/>
        <v>Aprobado</v>
      </c>
      <c r="T52" s="5">
        <f t="shared" si="2"/>
        <v>100</v>
      </c>
      <c r="U52" s="5" t="str">
        <f t="shared" si="3"/>
        <v>Supera los requisitos</v>
      </c>
      <c r="V52" s="5" t="s">
        <v>440</v>
      </c>
      <c r="W52" s="5" t="s">
        <v>157</v>
      </c>
      <c r="X52" s="5"/>
      <c r="Y52" s="5" t="s">
        <v>355</v>
      </c>
      <c r="Z52" s="5"/>
    </row>
    <row r="53" spans="1:26" ht="90" x14ac:dyDescent="0.25">
      <c r="A53" s="5" t="s">
        <v>41</v>
      </c>
      <c r="B53" s="5" t="s">
        <v>35</v>
      </c>
      <c r="C53" s="5" t="s">
        <v>40</v>
      </c>
      <c r="D53" s="5" t="s">
        <v>200</v>
      </c>
      <c r="E53" s="5" t="s">
        <v>184</v>
      </c>
      <c r="F53" s="5" t="s">
        <v>372</v>
      </c>
      <c r="G53" s="5" t="s">
        <v>373</v>
      </c>
      <c r="H53" s="5" t="s">
        <v>374</v>
      </c>
      <c r="I53" s="5" t="s">
        <v>344</v>
      </c>
      <c r="J53" s="5" t="s">
        <v>345</v>
      </c>
      <c r="K53" s="5" t="s">
        <v>408</v>
      </c>
      <c r="L53" s="5">
        <v>334.61900000000003</v>
      </c>
      <c r="M53" s="5"/>
      <c r="N53" s="5" t="s">
        <v>180</v>
      </c>
      <c r="O53" s="5">
        <f t="shared" si="0"/>
        <v>334.61900000000003</v>
      </c>
      <c r="P53" s="5" t="s">
        <v>199</v>
      </c>
      <c r="Q53" s="5" t="s">
        <v>182</v>
      </c>
      <c r="R53" s="5">
        <v>1000</v>
      </c>
      <c r="S53" s="5" t="str">
        <f t="shared" si="1"/>
        <v>Aprobado</v>
      </c>
      <c r="T53" s="5">
        <f t="shared" si="2"/>
        <v>100</v>
      </c>
      <c r="U53" s="5" t="str">
        <f t="shared" si="3"/>
        <v>Supera los requisitos</v>
      </c>
      <c r="V53" s="5" t="s">
        <v>441</v>
      </c>
      <c r="W53" s="5" t="s">
        <v>157</v>
      </c>
      <c r="X53" s="5"/>
      <c r="Y53" s="5" t="s">
        <v>355</v>
      </c>
      <c r="Z53" s="5"/>
    </row>
    <row r="54" spans="1:26" ht="90" x14ac:dyDescent="0.25">
      <c r="A54" s="5" t="s">
        <v>41</v>
      </c>
      <c r="B54" s="5" t="s">
        <v>35</v>
      </c>
      <c r="C54" s="5" t="s">
        <v>40</v>
      </c>
      <c r="D54" s="5" t="s">
        <v>200</v>
      </c>
      <c r="E54" s="5" t="s">
        <v>184</v>
      </c>
      <c r="F54" s="5" t="s">
        <v>378</v>
      </c>
      <c r="G54" s="5" t="s">
        <v>379</v>
      </c>
      <c r="H54" s="5" t="s">
        <v>380</v>
      </c>
      <c r="I54" s="5" t="s">
        <v>344</v>
      </c>
      <c r="J54" s="5" t="s">
        <v>345</v>
      </c>
      <c r="K54" s="5" t="s">
        <v>408</v>
      </c>
      <c r="L54" s="5">
        <v>334.78699999999998</v>
      </c>
      <c r="M54" s="5"/>
      <c r="N54" s="5" t="s">
        <v>180</v>
      </c>
      <c r="O54" s="5">
        <f t="shared" si="0"/>
        <v>334.78699999999998</v>
      </c>
      <c r="P54" s="5" t="s">
        <v>199</v>
      </c>
      <c r="Q54" s="5" t="s">
        <v>182</v>
      </c>
      <c r="R54" s="5">
        <v>1000</v>
      </c>
      <c r="S54" s="5" t="str">
        <f t="shared" si="1"/>
        <v>Aprobado</v>
      </c>
      <c r="T54" s="5">
        <f t="shared" si="2"/>
        <v>100</v>
      </c>
      <c r="U54" s="5" t="str">
        <f t="shared" si="3"/>
        <v>Supera los requisitos</v>
      </c>
      <c r="V54" s="5" t="s">
        <v>442</v>
      </c>
      <c r="W54" s="5" t="s">
        <v>157</v>
      </c>
      <c r="X54" s="5"/>
      <c r="Y54" s="5" t="s">
        <v>355</v>
      </c>
      <c r="Z54" s="5"/>
    </row>
    <row r="55" spans="1:26" ht="90" x14ac:dyDescent="0.25">
      <c r="A55" s="5" t="s">
        <v>41</v>
      </c>
      <c r="B55" s="5" t="s">
        <v>35</v>
      </c>
      <c r="C55" s="5" t="s">
        <v>40</v>
      </c>
      <c r="D55" s="5" t="s">
        <v>200</v>
      </c>
      <c r="E55" s="5" t="s">
        <v>184</v>
      </c>
      <c r="F55" s="5" t="s">
        <v>384</v>
      </c>
      <c r="G55" s="5" t="s">
        <v>385</v>
      </c>
      <c r="H55" s="5" t="s">
        <v>386</v>
      </c>
      <c r="I55" s="5" t="s">
        <v>344</v>
      </c>
      <c r="J55" s="5" t="s">
        <v>345</v>
      </c>
      <c r="K55" s="5" t="s">
        <v>408</v>
      </c>
      <c r="L55" s="5">
        <v>334.79700000000003</v>
      </c>
      <c r="M55" s="5"/>
      <c r="N55" s="5" t="s">
        <v>180</v>
      </c>
      <c r="O55" s="5">
        <f t="shared" si="0"/>
        <v>334.79700000000003</v>
      </c>
      <c r="P55" s="5" t="s">
        <v>199</v>
      </c>
      <c r="Q55" s="5" t="s">
        <v>182</v>
      </c>
      <c r="R55" s="5">
        <v>1000</v>
      </c>
      <c r="S55" s="5" t="str">
        <f t="shared" si="1"/>
        <v>Aprobado</v>
      </c>
      <c r="T55" s="5">
        <f t="shared" si="2"/>
        <v>100</v>
      </c>
      <c r="U55" s="5" t="str">
        <f t="shared" si="3"/>
        <v>Supera los requisitos</v>
      </c>
      <c r="V55" s="5" t="s">
        <v>443</v>
      </c>
      <c r="W55" s="5" t="s">
        <v>157</v>
      </c>
      <c r="X55" s="5"/>
      <c r="Y55" s="5" t="s">
        <v>355</v>
      </c>
      <c r="Z55" s="5"/>
    </row>
    <row r="56" spans="1:26" ht="90" x14ac:dyDescent="0.25">
      <c r="A56" s="5" t="s">
        <v>50</v>
      </c>
      <c r="B56" s="5" t="s">
        <v>46</v>
      </c>
      <c r="C56" s="5" t="s">
        <v>49</v>
      </c>
      <c r="D56" s="5" t="s">
        <v>205</v>
      </c>
      <c r="E56" s="5" t="s">
        <v>206</v>
      </c>
      <c r="F56" s="5" t="s">
        <v>341</v>
      </c>
      <c r="G56" s="5" t="s">
        <v>342</v>
      </c>
      <c r="H56" s="5" t="s">
        <v>343</v>
      </c>
      <c r="I56" s="5" t="s">
        <v>344</v>
      </c>
      <c r="J56" s="5" t="s">
        <v>345</v>
      </c>
      <c r="K56" s="5" t="s">
        <v>346</v>
      </c>
      <c r="L56" s="5">
        <v>4</v>
      </c>
      <c r="M56" s="5">
        <v>4</v>
      </c>
      <c r="N56" s="5" t="s">
        <v>347</v>
      </c>
      <c r="O56" s="5">
        <f t="shared" si="0"/>
        <v>100</v>
      </c>
      <c r="P56" s="5" t="s">
        <v>152</v>
      </c>
      <c r="Q56" s="5" t="s">
        <v>153</v>
      </c>
      <c r="R56" s="5">
        <v>100</v>
      </c>
      <c r="S56" s="5" t="str">
        <f t="shared" si="1"/>
        <v>Aprobado</v>
      </c>
      <c r="T56" s="5">
        <f t="shared" si="2"/>
        <v>100</v>
      </c>
      <c r="U56" s="5" t="str">
        <f t="shared" si="3"/>
        <v>Supera los requisitos</v>
      </c>
      <c r="V56" s="5" t="s">
        <v>444</v>
      </c>
      <c r="W56" s="5" t="s">
        <v>157</v>
      </c>
      <c r="X56" s="5"/>
      <c r="Y56" s="5" t="s">
        <v>355</v>
      </c>
      <c r="Z56" s="5"/>
    </row>
    <row r="57" spans="1:26" ht="90" x14ac:dyDescent="0.25">
      <c r="A57" s="5" t="s">
        <v>50</v>
      </c>
      <c r="B57" s="5" t="s">
        <v>46</v>
      </c>
      <c r="C57" s="5" t="s">
        <v>49</v>
      </c>
      <c r="D57" s="5" t="s">
        <v>205</v>
      </c>
      <c r="E57" s="5" t="s">
        <v>206</v>
      </c>
      <c r="F57" s="5" t="s">
        <v>351</v>
      </c>
      <c r="G57" s="5" t="s">
        <v>352</v>
      </c>
      <c r="H57" s="5" t="s">
        <v>353</v>
      </c>
      <c r="I57" s="5" t="s">
        <v>344</v>
      </c>
      <c r="J57" s="5" t="s">
        <v>345</v>
      </c>
      <c r="K57" s="5" t="s">
        <v>346</v>
      </c>
      <c r="L57" s="5">
        <v>4</v>
      </c>
      <c r="M57" s="5">
        <v>4</v>
      </c>
      <c r="N57" s="5" t="s">
        <v>347</v>
      </c>
      <c r="O57" s="5">
        <f t="shared" si="0"/>
        <v>100</v>
      </c>
      <c r="P57" s="5" t="s">
        <v>152</v>
      </c>
      <c r="Q57" s="5" t="s">
        <v>153</v>
      </c>
      <c r="R57" s="5">
        <v>100</v>
      </c>
      <c r="S57" s="5" t="str">
        <f t="shared" si="1"/>
        <v>Aprobado</v>
      </c>
      <c r="T57" s="5">
        <f t="shared" si="2"/>
        <v>100</v>
      </c>
      <c r="U57" s="5" t="str">
        <f t="shared" si="3"/>
        <v>Supera los requisitos</v>
      </c>
      <c r="V57" s="5" t="s">
        <v>445</v>
      </c>
      <c r="W57" s="5" t="s">
        <v>157</v>
      </c>
      <c r="X57" s="5"/>
      <c r="Y57" s="5" t="s">
        <v>355</v>
      </c>
      <c r="Z57" s="5"/>
    </row>
    <row r="58" spans="1:26" ht="90" x14ac:dyDescent="0.25">
      <c r="A58" s="5" t="s">
        <v>50</v>
      </c>
      <c r="B58" s="5" t="s">
        <v>46</v>
      </c>
      <c r="C58" s="5" t="s">
        <v>49</v>
      </c>
      <c r="D58" s="5" t="s">
        <v>205</v>
      </c>
      <c r="E58" s="5" t="s">
        <v>206</v>
      </c>
      <c r="F58" s="5" t="s">
        <v>356</v>
      </c>
      <c r="G58" s="5" t="s">
        <v>357</v>
      </c>
      <c r="H58" s="5" t="s">
        <v>358</v>
      </c>
      <c r="I58" s="5" t="s">
        <v>344</v>
      </c>
      <c r="J58" s="5" t="s">
        <v>345</v>
      </c>
      <c r="K58" s="5" t="s">
        <v>346</v>
      </c>
      <c r="L58" s="5">
        <v>4</v>
      </c>
      <c r="M58" s="5">
        <v>4</v>
      </c>
      <c r="N58" s="5" t="s">
        <v>347</v>
      </c>
      <c r="O58" s="5">
        <f t="shared" si="0"/>
        <v>100</v>
      </c>
      <c r="P58" s="5" t="s">
        <v>152</v>
      </c>
      <c r="Q58" s="5" t="s">
        <v>153</v>
      </c>
      <c r="R58" s="5">
        <v>100</v>
      </c>
      <c r="S58" s="5" t="str">
        <f t="shared" si="1"/>
        <v>Aprobado</v>
      </c>
      <c r="T58" s="5">
        <f t="shared" si="2"/>
        <v>100</v>
      </c>
      <c r="U58" s="5" t="str">
        <f t="shared" si="3"/>
        <v>Supera los requisitos</v>
      </c>
      <c r="V58" s="5" t="s">
        <v>446</v>
      </c>
      <c r="W58" s="5" t="s">
        <v>157</v>
      </c>
      <c r="X58" s="5"/>
      <c r="Y58" s="5" t="s">
        <v>355</v>
      </c>
      <c r="Z58" s="5"/>
    </row>
    <row r="59" spans="1:26" ht="90" x14ac:dyDescent="0.25">
      <c r="A59" s="5" t="s">
        <v>50</v>
      </c>
      <c r="B59" s="5" t="s">
        <v>46</v>
      </c>
      <c r="C59" s="5" t="s">
        <v>49</v>
      </c>
      <c r="D59" s="5" t="s">
        <v>205</v>
      </c>
      <c r="E59" s="5" t="s">
        <v>206</v>
      </c>
      <c r="F59" s="5" t="s">
        <v>360</v>
      </c>
      <c r="G59" s="5" t="s">
        <v>361</v>
      </c>
      <c r="H59" s="5" t="s">
        <v>362</v>
      </c>
      <c r="I59" s="5" t="s">
        <v>344</v>
      </c>
      <c r="J59" s="5" t="s">
        <v>345</v>
      </c>
      <c r="K59" s="5" t="s">
        <v>346</v>
      </c>
      <c r="L59" s="5">
        <v>4</v>
      </c>
      <c r="M59" s="5">
        <v>4</v>
      </c>
      <c r="N59" s="5" t="s">
        <v>347</v>
      </c>
      <c r="O59" s="5">
        <f t="shared" si="0"/>
        <v>100</v>
      </c>
      <c r="P59" s="5" t="s">
        <v>152</v>
      </c>
      <c r="Q59" s="5" t="s">
        <v>153</v>
      </c>
      <c r="R59" s="5">
        <v>100</v>
      </c>
      <c r="S59" s="5" t="str">
        <f t="shared" si="1"/>
        <v>Aprobado</v>
      </c>
      <c r="T59" s="5">
        <f t="shared" si="2"/>
        <v>100</v>
      </c>
      <c r="U59" s="5" t="str">
        <f t="shared" si="3"/>
        <v>Supera los requisitos</v>
      </c>
      <c r="V59" s="5" t="s">
        <v>447</v>
      </c>
      <c r="W59" s="5" t="s">
        <v>157</v>
      </c>
      <c r="X59" s="5"/>
      <c r="Y59" s="5" t="s">
        <v>355</v>
      </c>
      <c r="Z59" s="5"/>
    </row>
    <row r="60" spans="1:26" ht="90" x14ac:dyDescent="0.25">
      <c r="A60" s="5" t="s">
        <v>50</v>
      </c>
      <c r="B60" s="5" t="s">
        <v>46</v>
      </c>
      <c r="C60" s="5" t="s">
        <v>49</v>
      </c>
      <c r="D60" s="5" t="s">
        <v>205</v>
      </c>
      <c r="E60" s="5" t="s">
        <v>206</v>
      </c>
      <c r="F60" s="5" t="s">
        <v>364</v>
      </c>
      <c r="G60" s="5" t="s">
        <v>365</v>
      </c>
      <c r="H60" s="5" t="s">
        <v>366</v>
      </c>
      <c r="I60" s="5" t="s">
        <v>344</v>
      </c>
      <c r="J60" s="5" t="s">
        <v>345</v>
      </c>
      <c r="K60" s="5" t="s">
        <v>346</v>
      </c>
      <c r="L60" s="5">
        <v>4</v>
      </c>
      <c r="M60" s="5">
        <v>4</v>
      </c>
      <c r="N60" s="5" t="s">
        <v>347</v>
      </c>
      <c r="O60" s="5">
        <f t="shared" si="0"/>
        <v>100</v>
      </c>
      <c r="P60" s="5" t="s">
        <v>152</v>
      </c>
      <c r="Q60" s="5" t="s">
        <v>153</v>
      </c>
      <c r="R60" s="5">
        <v>100</v>
      </c>
      <c r="S60" s="5" t="str">
        <f t="shared" si="1"/>
        <v>Aprobado</v>
      </c>
      <c r="T60" s="5">
        <f t="shared" si="2"/>
        <v>100</v>
      </c>
      <c r="U60" s="5" t="str">
        <f t="shared" si="3"/>
        <v>Supera los requisitos</v>
      </c>
      <c r="V60" s="5" t="s">
        <v>448</v>
      </c>
      <c r="W60" s="5" t="s">
        <v>157</v>
      </c>
      <c r="X60" s="5"/>
      <c r="Y60" s="5" t="s">
        <v>355</v>
      </c>
      <c r="Z60" s="5"/>
    </row>
    <row r="61" spans="1:26" ht="90" x14ac:dyDescent="0.25">
      <c r="A61" s="5" t="s">
        <v>50</v>
      </c>
      <c r="B61" s="5" t="s">
        <v>46</v>
      </c>
      <c r="C61" s="5" t="s">
        <v>49</v>
      </c>
      <c r="D61" s="5" t="s">
        <v>205</v>
      </c>
      <c r="E61" s="5" t="s">
        <v>206</v>
      </c>
      <c r="F61" s="5" t="s">
        <v>368</v>
      </c>
      <c r="G61" s="5" t="s">
        <v>369</v>
      </c>
      <c r="H61" s="5" t="s">
        <v>370</v>
      </c>
      <c r="I61" s="5" t="s">
        <v>344</v>
      </c>
      <c r="J61" s="5" t="s">
        <v>345</v>
      </c>
      <c r="K61" s="5" t="s">
        <v>346</v>
      </c>
      <c r="L61" s="5">
        <v>4</v>
      </c>
      <c r="M61" s="5">
        <v>4</v>
      </c>
      <c r="N61" s="5" t="s">
        <v>347</v>
      </c>
      <c r="O61" s="5">
        <f t="shared" si="0"/>
        <v>100</v>
      </c>
      <c r="P61" s="5" t="s">
        <v>152</v>
      </c>
      <c r="Q61" s="5" t="s">
        <v>153</v>
      </c>
      <c r="R61" s="5">
        <v>100</v>
      </c>
      <c r="S61" s="5" t="str">
        <f t="shared" si="1"/>
        <v>Aprobado</v>
      </c>
      <c r="T61" s="5">
        <f t="shared" si="2"/>
        <v>100</v>
      </c>
      <c r="U61" s="5" t="str">
        <f t="shared" si="3"/>
        <v>Supera los requisitos</v>
      </c>
      <c r="V61" s="5" t="s">
        <v>449</v>
      </c>
      <c r="W61" s="5" t="s">
        <v>157</v>
      </c>
      <c r="X61" s="5"/>
      <c r="Y61" s="5" t="s">
        <v>355</v>
      </c>
      <c r="Z61" s="5"/>
    </row>
    <row r="62" spans="1:26" ht="90" x14ac:dyDescent="0.25">
      <c r="A62" s="5" t="s">
        <v>50</v>
      </c>
      <c r="B62" s="5" t="s">
        <v>46</v>
      </c>
      <c r="C62" s="5" t="s">
        <v>49</v>
      </c>
      <c r="D62" s="5" t="s">
        <v>205</v>
      </c>
      <c r="E62" s="5" t="s">
        <v>206</v>
      </c>
      <c r="F62" s="5" t="s">
        <v>372</v>
      </c>
      <c r="G62" s="5" t="s">
        <v>373</v>
      </c>
      <c r="H62" s="5" t="s">
        <v>374</v>
      </c>
      <c r="I62" s="5" t="s">
        <v>344</v>
      </c>
      <c r="J62" s="5" t="s">
        <v>345</v>
      </c>
      <c r="K62" s="5" t="s">
        <v>346</v>
      </c>
      <c r="L62" s="5">
        <v>4</v>
      </c>
      <c r="M62" s="5">
        <v>4</v>
      </c>
      <c r="N62" s="5" t="s">
        <v>347</v>
      </c>
      <c r="O62" s="5">
        <f t="shared" si="0"/>
        <v>100</v>
      </c>
      <c r="P62" s="5" t="s">
        <v>152</v>
      </c>
      <c r="Q62" s="5" t="s">
        <v>153</v>
      </c>
      <c r="R62" s="5">
        <v>100</v>
      </c>
      <c r="S62" s="5" t="str">
        <f t="shared" si="1"/>
        <v>Aprobado</v>
      </c>
      <c r="T62" s="5">
        <f t="shared" si="2"/>
        <v>100</v>
      </c>
      <c r="U62" s="5" t="str">
        <f t="shared" si="3"/>
        <v>Supera los requisitos</v>
      </c>
      <c r="V62" s="5" t="s">
        <v>450</v>
      </c>
      <c r="W62" s="5" t="s">
        <v>157</v>
      </c>
      <c r="X62" s="5"/>
      <c r="Y62" s="5" t="s">
        <v>355</v>
      </c>
      <c r="Z62" s="5"/>
    </row>
    <row r="63" spans="1:26" ht="90" x14ac:dyDescent="0.25">
      <c r="A63" s="5" t="s">
        <v>50</v>
      </c>
      <c r="B63" s="5" t="s">
        <v>46</v>
      </c>
      <c r="C63" s="5" t="s">
        <v>49</v>
      </c>
      <c r="D63" s="5" t="s">
        <v>205</v>
      </c>
      <c r="E63" s="5" t="s">
        <v>206</v>
      </c>
      <c r="F63" s="5" t="s">
        <v>378</v>
      </c>
      <c r="G63" s="5" t="s">
        <v>379</v>
      </c>
      <c r="H63" s="5" t="s">
        <v>380</v>
      </c>
      <c r="I63" s="5" t="s">
        <v>344</v>
      </c>
      <c r="J63" s="5" t="s">
        <v>345</v>
      </c>
      <c r="K63" s="5" t="s">
        <v>346</v>
      </c>
      <c r="L63" s="5">
        <v>4</v>
      </c>
      <c r="M63" s="5">
        <v>4</v>
      </c>
      <c r="N63" s="5" t="s">
        <v>347</v>
      </c>
      <c r="O63" s="5">
        <f t="shared" si="0"/>
        <v>100</v>
      </c>
      <c r="P63" s="5" t="s">
        <v>152</v>
      </c>
      <c r="Q63" s="5" t="s">
        <v>153</v>
      </c>
      <c r="R63" s="5">
        <v>100</v>
      </c>
      <c r="S63" s="5" t="str">
        <f t="shared" si="1"/>
        <v>Aprobado</v>
      </c>
      <c r="T63" s="5">
        <f t="shared" si="2"/>
        <v>100</v>
      </c>
      <c r="U63" s="5" t="str">
        <f t="shared" si="3"/>
        <v>Supera los requisitos</v>
      </c>
      <c r="V63" s="5" t="s">
        <v>451</v>
      </c>
      <c r="W63" s="5" t="s">
        <v>157</v>
      </c>
      <c r="X63" s="5"/>
      <c r="Y63" s="5" t="s">
        <v>355</v>
      </c>
      <c r="Z63" s="5"/>
    </row>
    <row r="64" spans="1:26" ht="90" x14ac:dyDescent="0.25">
      <c r="A64" s="5" t="s">
        <v>50</v>
      </c>
      <c r="B64" s="5" t="s">
        <v>46</v>
      </c>
      <c r="C64" s="5" t="s">
        <v>49</v>
      </c>
      <c r="D64" s="5" t="s">
        <v>205</v>
      </c>
      <c r="E64" s="5" t="s">
        <v>206</v>
      </c>
      <c r="F64" s="5" t="s">
        <v>384</v>
      </c>
      <c r="G64" s="5" t="s">
        <v>385</v>
      </c>
      <c r="H64" s="5" t="s">
        <v>386</v>
      </c>
      <c r="I64" s="5" t="s">
        <v>344</v>
      </c>
      <c r="J64" s="5" t="s">
        <v>345</v>
      </c>
      <c r="K64" s="5" t="s">
        <v>346</v>
      </c>
      <c r="L64" s="5">
        <v>4</v>
      </c>
      <c r="M64" s="5">
        <v>4</v>
      </c>
      <c r="N64" s="5" t="s">
        <v>347</v>
      </c>
      <c r="O64" s="5">
        <f t="shared" si="0"/>
        <v>100</v>
      </c>
      <c r="P64" s="5" t="s">
        <v>152</v>
      </c>
      <c r="Q64" s="5" t="s">
        <v>153</v>
      </c>
      <c r="R64" s="5">
        <v>100</v>
      </c>
      <c r="S64" s="5" t="str">
        <f t="shared" si="1"/>
        <v>Aprobado</v>
      </c>
      <c r="T64" s="5">
        <f t="shared" si="2"/>
        <v>100</v>
      </c>
      <c r="U64" s="5" t="str">
        <f t="shared" si="3"/>
        <v>Supera los requisitos</v>
      </c>
      <c r="V64" s="5" t="s">
        <v>452</v>
      </c>
      <c r="W64" s="5" t="s">
        <v>157</v>
      </c>
      <c r="X64" s="5"/>
      <c r="Y64" s="5" t="s">
        <v>355</v>
      </c>
      <c r="Z64" s="5"/>
    </row>
    <row r="65" spans="1:26" ht="90" x14ac:dyDescent="0.25">
      <c r="A65" s="5" t="s">
        <v>57</v>
      </c>
      <c r="B65" s="5" t="s">
        <v>54</v>
      </c>
      <c r="C65" s="5" t="s">
        <v>56</v>
      </c>
      <c r="D65" s="5" t="s">
        <v>212</v>
      </c>
      <c r="E65" s="5" t="s">
        <v>213</v>
      </c>
      <c r="F65" s="5" t="s">
        <v>341</v>
      </c>
      <c r="G65" s="5" t="s">
        <v>342</v>
      </c>
      <c r="H65" s="5" t="s">
        <v>343</v>
      </c>
      <c r="I65" s="5" t="s">
        <v>344</v>
      </c>
      <c r="J65" s="5" t="s">
        <v>345</v>
      </c>
      <c r="K65" s="5" t="s">
        <v>346</v>
      </c>
      <c r="L65" s="5">
        <v>31</v>
      </c>
      <c r="M65" s="5">
        <v>31</v>
      </c>
      <c r="N65" s="5" t="s">
        <v>347</v>
      </c>
      <c r="O65" s="5">
        <f t="shared" si="0"/>
        <v>100</v>
      </c>
      <c r="P65" s="5" t="s">
        <v>152</v>
      </c>
      <c r="Q65" s="5" t="s">
        <v>153</v>
      </c>
      <c r="R65" s="5">
        <v>95</v>
      </c>
      <c r="S65" s="5" t="str">
        <f t="shared" si="1"/>
        <v>Aprobado</v>
      </c>
      <c r="T65" s="5">
        <f t="shared" si="2"/>
        <v>100</v>
      </c>
      <c r="U65" s="5" t="str">
        <f t="shared" si="3"/>
        <v>Supera los requisitos</v>
      </c>
      <c r="V65" s="5" t="s">
        <v>453</v>
      </c>
      <c r="W65" s="5" t="s">
        <v>214</v>
      </c>
      <c r="X65" s="5"/>
      <c r="Y65" s="5" t="s">
        <v>355</v>
      </c>
      <c r="Z65" s="5"/>
    </row>
    <row r="66" spans="1:26" ht="90" x14ac:dyDescent="0.25">
      <c r="A66" s="5" t="s">
        <v>57</v>
      </c>
      <c r="B66" s="5" t="s">
        <v>54</v>
      </c>
      <c r="C66" s="5" t="s">
        <v>56</v>
      </c>
      <c r="D66" s="5" t="s">
        <v>212</v>
      </c>
      <c r="E66" s="5" t="s">
        <v>213</v>
      </c>
      <c r="F66" s="5" t="s">
        <v>351</v>
      </c>
      <c r="G66" s="5" t="s">
        <v>352</v>
      </c>
      <c r="H66" s="5" t="s">
        <v>353</v>
      </c>
      <c r="I66" s="5" t="s">
        <v>344</v>
      </c>
      <c r="J66" s="5" t="s">
        <v>345</v>
      </c>
      <c r="K66" s="5" t="s">
        <v>346</v>
      </c>
      <c r="L66" s="5">
        <v>31</v>
      </c>
      <c r="M66" s="5">
        <v>31</v>
      </c>
      <c r="N66" s="5" t="s">
        <v>347</v>
      </c>
      <c r="O66" s="5">
        <f t="shared" ref="O66:O129" si="4">IF(L66="","",IF(K66="proporcion",ROUND(L66/M66*100,2),L66))</f>
        <v>100</v>
      </c>
      <c r="P66" s="5" t="s">
        <v>152</v>
      </c>
      <c r="Q66" s="5" t="s">
        <v>153</v>
      </c>
      <c r="R66" s="5">
        <v>95</v>
      </c>
      <c r="S66" s="5" t="str">
        <f t="shared" ref="S66:S129" si="5">IF(O66="","Pendiente",IF(Q66="mayor",IF(O66&gt;=R66,"Aprobado","Rechazado"),IF(O66&lt;=R66,"Aprobado","Rechazado")))</f>
        <v>Aprobado</v>
      </c>
      <c r="T66" s="5">
        <f t="shared" ref="T66:T129" si="6">IF(O66="","",IF(K66="proporcion",O66,MIN(100,ROUND(100*R66/MAX(O66,0.000001),2))))</f>
        <v>100</v>
      </c>
      <c r="U66" s="5" t="str">
        <f t="shared" ref="U66:U129" si="7">IF(T66="","",IF(T66&lt;40,"No aceptable",IF(T66&lt;60,"Mínimamente aceptable",IF(T66&lt;90,"Rango objetivo","Supera los requisitos"))))</f>
        <v>Supera los requisitos</v>
      </c>
      <c r="V66" s="5" t="s">
        <v>454</v>
      </c>
      <c r="W66" s="5" t="s">
        <v>214</v>
      </c>
      <c r="X66" s="5"/>
      <c r="Y66" s="5" t="s">
        <v>355</v>
      </c>
      <c r="Z66" s="5"/>
    </row>
    <row r="67" spans="1:26" ht="90" x14ac:dyDescent="0.25">
      <c r="A67" s="5" t="s">
        <v>57</v>
      </c>
      <c r="B67" s="5" t="s">
        <v>54</v>
      </c>
      <c r="C67" s="5" t="s">
        <v>56</v>
      </c>
      <c r="D67" s="5" t="s">
        <v>212</v>
      </c>
      <c r="E67" s="5" t="s">
        <v>213</v>
      </c>
      <c r="F67" s="5" t="s">
        <v>356</v>
      </c>
      <c r="G67" s="5" t="s">
        <v>357</v>
      </c>
      <c r="H67" s="5" t="s">
        <v>358</v>
      </c>
      <c r="I67" s="5" t="s">
        <v>344</v>
      </c>
      <c r="J67" s="5" t="s">
        <v>345</v>
      </c>
      <c r="K67" s="5" t="s">
        <v>346</v>
      </c>
      <c r="L67" s="5">
        <v>31</v>
      </c>
      <c r="M67" s="5">
        <v>31</v>
      </c>
      <c r="N67" s="5" t="s">
        <v>347</v>
      </c>
      <c r="O67" s="5">
        <f t="shared" si="4"/>
        <v>100</v>
      </c>
      <c r="P67" s="5" t="s">
        <v>152</v>
      </c>
      <c r="Q67" s="5" t="s">
        <v>153</v>
      </c>
      <c r="R67" s="5">
        <v>95</v>
      </c>
      <c r="S67" s="5" t="str">
        <f t="shared" si="5"/>
        <v>Aprobado</v>
      </c>
      <c r="T67" s="5">
        <f t="shared" si="6"/>
        <v>100</v>
      </c>
      <c r="U67" s="5" t="str">
        <f t="shared" si="7"/>
        <v>Supera los requisitos</v>
      </c>
      <c r="V67" s="5" t="s">
        <v>455</v>
      </c>
      <c r="W67" s="5" t="s">
        <v>214</v>
      </c>
      <c r="X67" s="5"/>
      <c r="Y67" s="5" t="s">
        <v>355</v>
      </c>
      <c r="Z67" s="5"/>
    </row>
    <row r="68" spans="1:26" ht="90" x14ac:dyDescent="0.25">
      <c r="A68" s="5" t="s">
        <v>57</v>
      </c>
      <c r="B68" s="5" t="s">
        <v>54</v>
      </c>
      <c r="C68" s="5" t="s">
        <v>56</v>
      </c>
      <c r="D68" s="5" t="s">
        <v>212</v>
      </c>
      <c r="E68" s="5" t="s">
        <v>213</v>
      </c>
      <c r="F68" s="5" t="s">
        <v>360</v>
      </c>
      <c r="G68" s="5" t="s">
        <v>361</v>
      </c>
      <c r="H68" s="5" t="s">
        <v>362</v>
      </c>
      <c r="I68" s="5" t="s">
        <v>344</v>
      </c>
      <c r="J68" s="5" t="s">
        <v>345</v>
      </c>
      <c r="K68" s="5" t="s">
        <v>346</v>
      </c>
      <c r="L68" s="5">
        <v>31</v>
      </c>
      <c r="M68" s="5">
        <v>31</v>
      </c>
      <c r="N68" s="5" t="s">
        <v>347</v>
      </c>
      <c r="O68" s="5">
        <f t="shared" si="4"/>
        <v>100</v>
      </c>
      <c r="P68" s="5" t="s">
        <v>152</v>
      </c>
      <c r="Q68" s="5" t="s">
        <v>153</v>
      </c>
      <c r="R68" s="5">
        <v>95</v>
      </c>
      <c r="S68" s="5" t="str">
        <f t="shared" si="5"/>
        <v>Aprobado</v>
      </c>
      <c r="T68" s="5">
        <f t="shared" si="6"/>
        <v>100</v>
      </c>
      <c r="U68" s="5" t="str">
        <f t="shared" si="7"/>
        <v>Supera los requisitos</v>
      </c>
      <c r="V68" s="5" t="s">
        <v>456</v>
      </c>
      <c r="W68" s="5" t="s">
        <v>214</v>
      </c>
      <c r="X68" s="5"/>
      <c r="Y68" s="5" t="s">
        <v>355</v>
      </c>
      <c r="Z68" s="5"/>
    </row>
    <row r="69" spans="1:26" ht="90" x14ac:dyDescent="0.25">
      <c r="A69" s="5" t="s">
        <v>57</v>
      </c>
      <c r="B69" s="5" t="s">
        <v>54</v>
      </c>
      <c r="C69" s="5" t="s">
        <v>56</v>
      </c>
      <c r="D69" s="5" t="s">
        <v>212</v>
      </c>
      <c r="E69" s="5" t="s">
        <v>213</v>
      </c>
      <c r="F69" s="5" t="s">
        <v>364</v>
      </c>
      <c r="G69" s="5" t="s">
        <v>365</v>
      </c>
      <c r="H69" s="5" t="s">
        <v>366</v>
      </c>
      <c r="I69" s="5" t="s">
        <v>344</v>
      </c>
      <c r="J69" s="5" t="s">
        <v>345</v>
      </c>
      <c r="K69" s="5" t="s">
        <v>346</v>
      </c>
      <c r="L69" s="5">
        <v>31</v>
      </c>
      <c r="M69" s="5">
        <v>31</v>
      </c>
      <c r="N69" s="5" t="s">
        <v>347</v>
      </c>
      <c r="O69" s="5">
        <f t="shared" si="4"/>
        <v>100</v>
      </c>
      <c r="P69" s="5" t="s">
        <v>152</v>
      </c>
      <c r="Q69" s="5" t="s">
        <v>153</v>
      </c>
      <c r="R69" s="5">
        <v>95</v>
      </c>
      <c r="S69" s="5" t="str">
        <f t="shared" si="5"/>
        <v>Aprobado</v>
      </c>
      <c r="T69" s="5">
        <f t="shared" si="6"/>
        <v>100</v>
      </c>
      <c r="U69" s="5" t="str">
        <f t="shared" si="7"/>
        <v>Supera los requisitos</v>
      </c>
      <c r="V69" s="5" t="s">
        <v>457</v>
      </c>
      <c r="W69" s="5" t="s">
        <v>214</v>
      </c>
      <c r="X69" s="5"/>
      <c r="Y69" s="5" t="s">
        <v>355</v>
      </c>
      <c r="Z69" s="5"/>
    </row>
    <row r="70" spans="1:26" ht="90" x14ac:dyDescent="0.25">
      <c r="A70" s="5" t="s">
        <v>57</v>
      </c>
      <c r="B70" s="5" t="s">
        <v>54</v>
      </c>
      <c r="C70" s="5" t="s">
        <v>56</v>
      </c>
      <c r="D70" s="5" t="s">
        <v>212</v>
      </c>
      <c r="E70" s="5" t="s">
        <v>213</v>
      </c>
      <c r="F70" s="5" t="s">
        <v>368</v>
      </c>
      <c r="G70" s="5" t="s">
        <v>369</v>
      </c>
      <c r="H70" s="5" t="s">
        <v>370</v>
      </c>
      <c r="I70" s="5" t="s">
        <v>344</v>
      </c>
      <c r="J70" s="5" t="s">
        <v>345</v>
      </c>
      <c r="K70" s="5" t="s">
        <v>346</v>
      </c>
      <c r="L70" s="5">
        <v>31</v>
      </c>
      <c r="M70" s="5">
        <v>31</v>
      </c>
      <c r="N70" s="5" t="s">
        <v>347</v>
      </c>
      <c r="O70" s="5">
        <f t="shared" si="4"/>
        <v>100</v>
      </c>
      <c r="P70" s="5" t="s">
        <v>152</v>
      </c>
      <c r="Q70" s="5" t="s">
        <v>153</v>
      </c>
      <c r="R70" s="5">
        <v>95</v>
      </c>
      <c r="S70" s="5" t="str">
        <f t="shared" si="5"/>
        <v>Aprobado</v>
      </c>
      <c r="T70" s="5">
        <f t="shared" si="6"/>
        <v>100</v>
      </c>
      <c r="U70" s="5" t="str">
        <f t="shared" si="7"/>
        <v>Supera los requisitos</v>
      </c>
      <c r="V70" s="5" t="s">
        <v>458</v>
      </c>
      <c r="W70" s="5" t="s">
        <v>214</v>
      </c>
      <c r="X70" s="5"/>
      <c r="Y70" s="5" t="s">
        <v>355</v>
      </c>
      <c r="Z70" s="5"/>
    </row>
    <row r="71" spans="1:26" ht="90" x14ac:dyDescent="0.25">
      <c r="A71" s="5" t="s">
        <v>57</v>
      </c>
      <c r="B71" s="5" t="s">
        <v>54</v>
      </c>
      <c r="C71" s="5" t="s">
        <v>56</v>
      </c>
      <c r="D71" s="5" t="s">
        <v>212</v>
      </c>
      <c r="E71" s="5" t="s">
        <v>213</v>
      </c>
      <c r="F71" s="5" t="s">
        <v>372</v>
      </c>
      <c r="G71" s="5" t="s">
        <v>373</v>
      </c>
      <c r="H71" s="5" t="s">
        <v>374</v>
      </c>
      <c r="I71" s="5" t="s">
        <v>344</v>
      </c>
      <c r="J71" s="5" t="s">
        <v>345</v>
      </c>
      <c r="K71" s="5" t="s">
        <v>346</v>
      </c>
      <c r="L71" s="5">
        <v>31</v>
      </c>
      <c r="M71" s="5">
        <v>31</v>
      </c>
      <c r="N71" s="5" t="s">
        <v>347</v>
      </c>
      <c r="O71" s="5">
        <f t="shared" si="4"/>
        <v>100</v>
      </c>
      <c r="P71" s="5" t="s">
        <v>152</v>
      </c>
      <c r="Q71" s="5" t="s">
        <v>153</v>
      </c>
      <c r="R71" s="5">
        <v>95</v>
      </c>
      <c r="S71" s="5" t="str">
        <f t="shared" si="5"/>
        <v>Aprobado</v>
      </c>
      <c r="T71" s="5">
        <f t="shared" si="6"/>
        <v>100</v>
      </c>
      <c r="U71" s="5" t="str">
        <f t="shared" si="7"/>
        <v>Supera los requisitos</v>
      </c>
      <c r="V71" s="5" t="s">
        <v>459</v>
      </c>
      <c r="W71" s="5" t="s">
        <v>214</v>
      </c>
      <c r="X71" s="5"/>
      <c r="Y71" s="5" t="s">
        <v>355</v>
      </c>
      <c r="Z71" s="5"/>
    </row>
    <row r="72" spans="1:26" ht="90" x14ac:dyDescent="0.25">
      <c r="A72" s="5" t="s">
        <v>57</v>
      </c>
      <c r="B72" s="5" t="s">
        <v>54</v>
      </c>
      <c r="C72" s="5" t="s">
        <v>56</v>
      </c>
      <c r="D72" s="5" t="s">
        <v>212</v>
      </c>
      <c r="E72" s="5" t="s">
        <v>213</v>
      </c>
      <c r="F72" s="5" t="s">
        <v>378</v>
      </c>
      <c r="G72" s="5" t="s">
        <v>379</v>
      </c>
      <c r="H72" s="5" t="s">
        <v>380</v>
      </c>
      <c r="I72" s="5" t="s">
        <v>344</v>
      </c>
      <c r="J72" s="5" t="s">
        <v>345</v>
      </c>
      <c r="K72" s="5" t="s">
        <v>346</v>
      </c>
      <c r="L72" s="5">
        <v>31</v>
      </c>
      <c r="M72" s="5">
        <v>31</v>
      </c>
      <c r="N72" s="5" t="s">
        <v>347</v>
      </c>
      <c r="O72" s="5">
        <f t="shared" si="4"/>
        <v>100</v>
      </c>
      <c r="P72" s="5" t="s">
        <v>152</v>
      </c>
      <c r="Q72" s="5" t="s">
        <v>153</v>
      </c>
      <c r="R72" s="5">
        <v>95</v>
      </c>
      <c r="S72" s="5" t="str">
        <f t="shared" si="5"/>
        <v>Aprobado</v>
      </c>
      <c r="T72" s="5">
        <f t="shared" si="6"/>
        <v>100</v>
      </c>
      <c r="U72" s="5" t="str">
        <f t="shared" si="7"/>
        <v>Supera los requisitos</v>
      </c>
      <c r="V72" s="5" t="s">
        <v>460</v>
      </c>
      <c r="W72" s="5" t="s">
        <v>214</v>
      </c>
      <c r="X72" s="5"/>
      <c r="Y72" s="5" t="s">
        <v>355</v>
      </c>
      <c r="Z72" s="5"/>
    </row>
    <row r="73" spans="1:26" ht="90" x14ac:dyDescent="0.25">
      <c r="A73" s="5" t="s">
        <v>57</v>
      </c>
      <c r="B73" s="5" t="s">
        <v>54</v>
      </c>
      <c r="C73" s="5" t="s">
        <v>56</v>
      </c>
      <c r="D73" s="5" t="s">
        <v>212</v>
      </c>
      <c r="E73" s="5" t="s">
        <v>213</v>
      </c>
      <c r="F73" s="5" t="s">
        <v>384</v>
      </c>
      <c r="G73" s="5" t="s">
        <v>385</v>
      </c>
      <c r="H73" s="5" t="s">
        <v>386</v>
      </c>
      <c r="I73" s="5" t="s">
        <v>344</v>
      </c>
      <c r="J73" s="5" t="s">
        <v>345</v>
      </c>
      <c r="K73" s="5" t="s">
        <v>346</v>
      </c>
      <c r="L73" s="5">
        <v>31</v>
      </c>
      <c r="M73" s="5">
        <v>31</v>
      </c>
      <c r="N73" s="5" t="s">
        <v>347</v>
      </c>
      <c r="O73" s="5">
        <f t="shared" si="4"/>
        <v>100</v>
      </c>
      <c r="P73" s="5" t="s">
        <v>152</v>
      </c>
      <c r="Q73" s="5" t="s">
        <v>153</v>
      </c>
      <c r="R73" s="5">
        <v>95</v>
      </c>
      <c r="S73" s="5" t="str">
        <f t="shared" si="5"/>
        <v>Aprobado</v>
      </c>
      <c r="T73" s="5">
        <f t="shared" si="6"/>
        <v>100</v>
      </c>
      <c r="U73" s="5" t="str">
        <f t="shared" si="7"/>
        <v>Supera los requisitos</v>
      </c>
      <c r="V73" s="5" t="s">
        <v>461</v>
      </c>
      <c r="W73" s="5" t="s">
        <v>214</v>
      </c>
      <c r="X73" s="5"/>
      <c r="Y73" s="5" t="s">
        <v>355</v>
      </c>
      <c r="Z73" s="5"/>
    </row>
    <row r="74" spans="1:26" ht="90" x14ac:dyDescent="0.25">
      <c r="A74" s="5" t="s">
        <v>59</v>
      </c>
      <c r="B74" s="5" t="s">
        <v>54</v>
      </c>
      <c r="C74" s="5" t="s">
        <v>58</v>
      </c>
      <c r="D74" s="5" t="s">
        <v>220</v>
      </c>
      <c r="E74" s="5" t="s">
        <v>213</v>
      </c>
      <c r="F74" s="5" t="s">
        <v>341</v>
      </c>
      <c r="G74" s="5" t="s">
        <v>342</v>
      </c>
      <c r="H74" s="5" t="s">
        <v>343</v>
      </c>
      <c r="I74" s="5" t="s">
        <v>344</v>
      </c>
      <c r="J74" s="5" t="s">
        <v>345</v>
      </c>
      <c r="K74" s="5" t="s">
        <v>346</v>
      </c>
      <c r="L74" s="5">
        <v>5</v>
      </c>
      <c r="M74" s="5">
        <v>5</v>
      </c>
      <c r="N74" s="5" t="s">
        <v>347</v>
      </c>
      <c r="O74" s="5">
        <f t="shared" si="4"/>
        <v>100</v>
      </c>
      <c r="P74" s="5" t="s">
        <v>152</v>
      </c>
      <c r="Q74" s="5" t="s">
        <v>153</v>
      </c>
      <c r="R74" s="5">
        <v>100</v>
      </c>
      <c r="S74" s="5" t="str">
        <f t="shared" si="5"/>
        <v>Aprobado</v>
      </c>
      <c r="T74" s="5">
        <f t="shared" si="6"/>
        <v>100</v>
      </c>
      <c r="U74" s="5" t="str">
        <f t="shared" si="7"/>
        <v>Supera los requisitos</v>
      </c>
      <c r="V74" s="5" t="s">
        <v>453</v>
      </c>
      <c r="W74" s="5" t="s">
        <v>214</v>
      </c>
      <c r="X74" s="5"/>
      <c r="Y74" s="5" t="s">
        <v>355</v>
      </c>
      <c r="Z74" s="5"/>
    </row>
    <row r="75" spans="1:26" ht="90" x14ac:dyDescent="0.25">
      <c r="A75" s="5" t="s">
        <v>59</v>
      </c>
      <c r="B75" s="5" t="s">
        <v>54</v>
      </c>
      <c r="C75" s="5" t="s">
        <v>58</v>
      </c>
      <c r="D75" s="5" t="s">
        <v>220</v>
      </c>
      <c r="E75" s="5" t="s">
        <v>213</v>
      </c>
      <c r="F75" s="5" t="s">
        <v>351</v>
      </c>
      <c r="G75" s="5" t="s">
        <v>352</v>
      </c>
      <c r="H75" s="5" t="s">
        <v>353</v>
      </c>
      <c r="I75" s="5" t="s">
        <v>344</v>
      </c>
      <c r="J75" s="5" t="s">
        <v>345</v>
      </c>
      <c r="K75" s="5" t="s">
        <v>346</v>
      </c>
      <c r="L75" s="5">
        <v>5</v>
      </c>
      <c r="M75" s="5">
        <v>5</v>
      </c>
      <c r="N75" s="5" t="s">
        <v>347</v>
      </c>
      <c r="O75" s="5">
        <f t="shared" si="4"/>
        <v>100</v>
      </c>
      <c r="P75" s="5" t="s">
        <v>152</v>
      </c>
      <c r="Q75" s="5" t="s">
        <v>153</v>
      </c>
      <c r="R75" s="5">
        <v>100</v>
      </c>
      <c r="S75" s="5" t="str">
        <f t="shared" si="5"/>
        <v>Aprobado</v>
      </c>
      <c r="T75" s="5">
        <f t="shared" si="6"/>
        <v>100</v>
      </c>
      <c r="U75" s="5" t="str">
        <f t="shared" si="7"/>
        <v>Supera los requisitos</v>
      </c>
      <c r="V75" s="5" t="s">
        <v>454</v>
      </c>
      <c r="W75" s="5" t="s">
        <v>214</v>
      </c>
      <c r="X75" s="5"/>
      <c r="Y75" s="5" t="s">
        <v>355</v>
      </c>
      <c r="Z75" s="5"/>
    </row>
    <row r="76" spans="1:26" ht="90" x14ac:dyDescent="0.25">
      <c r="A76" s="5" t="s">
        <v>59</v>
      </c>
      <c r="B76" s="5" t="s">
        <v>54</v>
      </c>
      <c r="C76" s="5" t="s">
        <v>58</v>
      </c>
      <c r="D76" s="5" t="s">
        <v>220</v>
      </c>
      <c r="E76" s="5" t="s">
        <v>213</v>
      </c>
      <c r="F76" s="5" t="s">
        <v>356</v>
      </c>
      <c r="G76" s="5" t="s">
        <v>357</v>
      </c>
      <c r="H76" s="5" t="s">
        <v>358</v>
      </c>
      <c r="I76" s="5" t="s">
        <v>344</v>
      </c>
      <c r="J76" s="5" t="s">
        <v>345</v>
      </c>
      <c r="K76" s="5" t="s">
        <v>346</v>
      </c>
      <c r="L76" s="5">
        <v>5</v>
      </c>
      <c r="M76" s="5">
        <v>5</v>
      </c>
      <c r="N76" s="5" t="s">
        <v>347</v>
      </c>
      <c r="O76" s="5">
        <f t="shared" si="4"/>
        <v>100</v>
      </c>
      <c r="P76" s="5" t="s">
        <v>152</v>
      </c>
      <c r="Q76" s="5" t="s">
        <v>153</v>
      </c>
      <c r="R76" s="5">
        <v>100</v>
      </c>
      <c r="S76" s="5" t="str">
        <f t="shared" si="5"/>
        <v>Aprobado</v>
      </c>
      <c r="T76" s="5">
        <f t="shared" si="6"/>
        <v>100</v>
      </c>
      <c r="U76" s="5" t="str">
        <f t="shared" si="7"/>
        <v>Supera los requisitos</v>
      </c>
      <c r="V76" s="5" t="s">
        <v>455</v>
      </c>
      <c r="W76" s="5" t="s">
        <v>214</v>
      </c>
      <c r="X76" s="5"/>
      <c r="Y76" s="5" t="s">
        <v>355</v>
      </c>
      <c r="Z76" s="5"/>
    </row>
    <row r="77" spans="1:26" ht="90" x14ac:dyDescent="0.25">
      <c r="A77" s="5" t="s">
        <v>59</v>
      </c>
      <c r="B77" s="5" t="s">
        <v>54</v>
      </c>
      <c r="C77" s="5" t="s">
        <v>58</v>
      </c>
      <c r="D77" s="5" t="s">
        <v>220</v>
      </c>
      <c r="E77" s="5" t="s">
        <v>213</v>
      </c>
      <c r="F77" s="5" t="s">
        <v>360</v>
      </c>
      <c r="G77" s="5" t="s">
        <v>361</v>
      </c>
      <c r="H77" s="5" t="s">
        <v>362</v>
      </c>
      <c r="I77" s="5" t="s">
        <v>344</v>
      </c>
      <c r="J77" s="5" t="s">
        <v>345</v>
      </c>
      <c r="K77" s="5" t="s">
        <v>346</v>
      </c>
      <c r="L77" s="5">
        <v>5</v>
      </c>
      <c r="M77" s="5">
        <v>5</v>
      </c>
      <c r="N77" s="5" t="s">
        <v>347</v>
      </c>
      <c r="O77" s="5">
        <f t="shared" si="4"/>
        <v>100</v>
      </c>
      <c r="P77" s="5" t="s">
        <v>152</v>
      </c>
      <c r="Q77" s="5" t="s">
        <v>153</v>
      </c>
      <c r="R77" s="5">
        <v>100</v>
      </c>
      <c r="S77" s="5" t="str">
        <f t="shared" si="5"/>
        <v>Aprobado</v>
      </c>
      <c r="T77" s="5">
        <f t="shared" si="6"/>
        <v>100</v>
      </c>
      <c r="U77" s="5" t="str">
        <f t="shared" si="7"/>
        <v>Supera los requisitos</v>
      </c>
      <c r="V77" s="5" t="s">
        <v>456</v>
      </c>
      <c r="W77" s="5" t="s">
        <v>214</v>
      </c>
      <c r="X77" s="5"/>
      <c r="Y77" s="5" t="s">
        <v>355</v>
      </c>
      <c r="Z77" s="5"/>
    </row>
    <row r="78" spans="1:26" ht="90" x14ac:dyDescent="0.25">
      <c r="A78" s="5" t="s">
        <v>59</v>
      </c>
      <c r="B78" s="5" t="s">
        <v>54</v>
      </c>
      <c r="C78" s="5" t="s">
        <v>58</v>
      </c>
      <c r="D78" s="5" t="s">
        <v>220</v>
      </c>
      <c r="E78" s="5" t="s">
        <v>213</v>
      </c>
      <c r="F78" s="5" t="s">
        <v>364</v>
      </c>
      <c r="G78" s="5" t="s">
        <v>365</v>
      </c>
      <c r="H78" s="5" t="s">
        <v>366</v>
      </c>
      <c r="I78" s="5" t="s">
        <v>344</v>
      </c>
      <c r="J78" s="5" t="s">
        <v>345</v>
      </c>
      <c r="K78" s="5" t="s">
        <v>346</v>
      </c>
      <c r="L78" s="5">
        <v>5</v>
      </c>
      <c r="M78" s="5">
        <v>5</v>
      </c>
      <c r="N78" s="5" t="s">
        <v>347</v>
      </c>
      <c r="O78" s="5">
        <f t="shared" si="4"/>
        <v>100</v>
      </c>
      <c r="P78" s="5" t="s">
        <v>152</v>
      </c>
      <c r="Q78" s="5" t="s">
        <v>153</v>
      </c>
      <c r="R78" s="5">
        <v>100</v>
      </c>
      <c r="S78" s="5" t="str">
        <f t="shared" si="5"/>
        <v>Aprobado</v>
      </c>
      <c r="T78" s="5">
        <f t="shared" si="6"/>
        <v>100</v>
      </c>
      <c r="U78" s="5" t="str">
        <f t="shared" si="7"/>
        <v>Supera los requisitos</v>
      </c>
      <c r="V78" s="5" t="s">
        <v>457</v>
      </c>
      <c r="W78" s="5" t="s">
        <v>214</v>
      </c>
      <c r="X78" s="5"/>
      <c r="Y78" s="5" t="s">
        <v>355</v>
      </c>
      <c r="Z78" s="5"/>
    </row>
    <row r="79" spans="1:26" ht="90" x14ac:dyDescent="0.25">
      <c r="A79" s="5" t="s">
        <v>59</v>
      </c>
      <c r="B79" s="5" t="s">
        <v>54</v>
      </c>
      <c r="C79" s="5" t="s">
        <v>58</v>
      </c>
      <c r="D79" s="5" t="s">
        <v>220</v>
      </c>
      <c r="E79" s="5" t="s">
        <v>213</v>
      </c>
      <c r="F79" s="5" t="s">
        <v>368</v>
      </c>
      <c r="G79" s="5" t="s">
        <v>369</v>
      </c>
      <c r="H79" s="5" t="s">
        <v>370</v>
      </c>
      <c r="I79" s="5" t="s">
        <v>344</v>
      </c>
      <c r="J79" s="5" t="s">
        <v>345</v>
      </c>
      <c r="K79" s="5" t="s">
        <v>346</v>
      </c>
      <c r="L79" s="5">
        <v>5</v>
      </c>
      <c r="M79" s="5">
        <v>5</v>
      </c>
      <c r="N79" s="5" t="s">
        <v>347</v>
      </c>
      <c r="O79" s="5">
        <f t="shared" si="4"/>
        <v>100</v>
      </c>
      <c r="P79" s="5" t="s">
        <v>152</v>
      </c>
      <c r="Q79" s="5" t="s">
        <v>153</v>
      </c>
      <c r="R79" s="5">
        <v>100</v>
      </c>
      <c r="S79" s="5" t="str">
        <f t="shared" si="5"/>
        <v>Aprobado</v>
      </c>
      <c r="T79" s="5">
        <f t="shared" si="6"/>
        <v>100</v>
      </c>
      <c r="U79" s="5" t="str">
        <f t="shared" si="7"/>
        <v>Supera los requisitos</v>
      </c>
      <c r="V79" s="5" t="s">
        <v>458</v>
      </c>
      <c r="W79" s="5" t="s">
        <v>214</v>
      </c>
      <c r="X79" s="5"/>
      <c r="Y79" s="5" t="s">
        <v>355</v>
      </c>
      <c r="Z79" s="5"/>
    </row>
    <row r="80" spans="1:26" ht="90" x14ac:dyDescent="0.25">
      <c r="A80" s="5" t="s">
        <v>59</v>
      </c>
      <c r="B80" s="5" t="s">
        <v>54</v>
      </c>
      <c r="C80" s="5" t="s">
        <v>58</v>
      </c>
      <c r="D80" s="5" t="s">
        <v>220</v>
      </c>
      <c r="E80" s="5" t="s">
        <v>213</v>
      </c>
      <c r="F80" s="5" t="s">
        <v>372</v>
      </c>
      <c r="G80" s="5" t="s">
        <v>373</v>
      </c>
      <c r="H80" s="5" t="s">
        <v>374</v>
      </c>
      <c r="I80" s="5" t="s">
        <v>344</v>
      </c>
      <c r="J80" s="5" t="s">
        <v>345</v>
      </c>
      <c r="K80" s="5" t="s">
        <v>346</v>
      </c>
      <c r="L80" s="5">
        <v>5</v>
      </c>
      <c r="M80" s="5">
        <v>5</v>
      </c>
      <c r="N80" s="5" t="s">
        <v>347</v>
      </c>
      <c r="O80" s="5">
        <f t="shared" si="4"/>
        <v>100</v>
      </c>
      <c r="P80" s="5" t="s">
        <v>152</v>
      </c>
      <c r="Q80" s="5" t="s">
        <v>153</v>
      </c>
      <c r="R80" s="5">
        <v>100</v>
      </c>
      <c r="S80" s="5" t="str">
        <f t="shared" si="5"/>
        <v>Aprobado</v>
      </c>
      <c r="T80" s="5">
        <f t="shared" si="6"/>
        <v>100</v>
      </c>
      <c r="U80" s="5" t="str">
        <f t="shared" si="7"/>
        <v>Supera los requisitos</v>
      </c>
      <c r="V80" s="5" t="s">
        <v>459</v>
      </c>
      <c r="W80" s="5" t="s">
        <v>214</v>
      </c>
      <c r="X80" s="5"/>
      <c r="Y80" s="5" t="s">
        <v>355</v>
      </c>
      <c r="Z80" s="5"/>
    </row>
    <row r="81" spans="1:26" ht="90" x14ac:dyDescent="0.25">
      <c r="A81" s="5" t="s">
        <v>59</v>
      </c>
      <c r="B81" s="5" t="s">
        <v>54</v>
      </c>
      <c r="C81" s="5" t="s">
        <v>58</v>
      </c>
      <c r="D81" s="5" t="s">
        <v>220</v>
      </c>
      <c r="E81" s="5" t="s">
        <v>213</v>
      </c>
      <c r="F81" s="5" t="s">
        <v>378</v>
      </c>
      <c r="G81" s="5" t="s">
        <v>379</v>
      </c>
      <c r="H81" s="5" t="s">
        <v>380</v>
      </c>
      <c r="I81" s="5" t="s">
        <v>344</v>
      </c>
      <c r="J81" s="5" t="s">
        <v>345</v>
      </c>
      <c r="K81" s="5" t="s">
        <v>346</v>
      </c>
      <c r="L81" s="5">
        <v>5</v>
      </c>
      <c r="M81" s="5">
        <v>5</v>
      </c>
      <c r="N81" s="5" t="s">
        <v>347</v>
      </c>
      <c r="O81" s="5">
        <f t="shared" si="4"/>
        <v>100</v>
      </c>
      <c r="P81" s="5" t="s">
        <v>152</v>
      </c>
      <c r="Q81" s="5" t="s">
        <v>153</v>
      </c>
      <c r="R81" s="5">
        <v>100</v>
      </c>
      <c r="S81" s="5" t="str">
        <f t="shared" si="5"/>
        <v>Aprobado</v>
      </c>
      <c r="T81" s="5">
        <f t="shared" si="6"/>
        <v>100</v>
      </c>
      <c r="U81" s="5" t="str">
        <f t="shared" si="7"/>
        <v>Supera los requisitos</v>
      </c>
      <c r="V81" s="5" t="s">
        <v>460</v>
      </c>
      <c r="W81" s="5" t="s">
        <v>214</v>
      </c>
      <c r="X81" s="5"/>
      <c r="Y81" s="5" t="s">
        <v>355</v>
      </c>
      <c r="Z81" s="5"/>
    </row>
    <row r="82" spans="1:26" ht="90" x14ac:dyDescent="0.25">
      <c r="A82" s="5" t="s">
        <v>59</v>
      </c>
      <c r="B82" s="5" t="s">
        <v>54</v>
      </c>
      <c r="C82" s="5" t="s">
        <v>58</v>
      </c>
      <c r="D82" s="5" t="s">
        <v>220</v>
      </c>
      <c r="E82" s="5" t="s">
        <v>213</v>
      </c>
      <c r="F82" s="5" t="s">
        <v>384</v>
      </c>
      <c r="G82" s="5" t="s">
        <v>385</v>
      </c>
      <c r="H82" s="5" t="s">
        <v>386</v>
      </c>
      <c r="I82" s="5" t="s">
        <v>344</v>
      </c>
      <c r="J82" s="5" t="s">
        <v>345</v>
      </c>
      <c r="K82" s="5" t="s">
        <v>346</v>
      </c>
      <c r="L82" s="5">
        <v>5</v>
      </c>
      <c r="M82" s="5">
        <v>5</v>
      </c>
      <c r="N82" s="5" t="s">
        <v>347</v>
      </c>
      <c r="O82" s="5">
        <f t="shared" si="4"/>
        <v>100</v>
      </c>
      <c r="P82" s="5" t="s">
        <v>152</v>
      </c>
      <c r="Q82" s="5" t="s">
        <v>153</v>
      </c>
      <c r="R82" s="5">
        <v>100</v>
      </c>
      <c r="S82" s="5" t="str">
        <f t="shared" si="5"/>
        <v>Aprobado</v>
      </c>
      <c r="T82" s="5">
        <f t="shared" si="6"/>
        <v>100</v>
      </c>
      <c r="U82" s="5" t="str">
        <f t="shared" si="7"/>
        <v>Supera los requisitos</v>
      </c>
      <c r="V82" s="5" t="s">
        <v>461</v>
      </c>
      <c r="W82" s="5" t="s">
        <v>214</v>
      </c>
      <c r="X82" s="5"/>
      <c r="Y82" s="5" t="s">
        <v>355</v>
      </c>
      <c r="Z82" s="5"/>
    </row>
    <row r="83" spans="1:26" ht="210" x14ac:dyDescent="0.25">
      <c r="A83" s="5" t="s">
        <v>61</v>
      </c>
      <c r="B83" s="5" t="s">
        <v>54</v>
      </c>
      <c r="C83" s="5" t="s">
        <v>60</v>
      </c>
      <c r="D83" s="5" t="s">
        <v>212</v>
      </c>
      <c r="E83" s="5" t="s">
        <v>226</v>
      </c>
      <c r="F83" s="5" t="s">
        <v>341</v>
      </c>
      <c r="G83" s="5" t="s">
        <v>342</v>
      </c>
      <c r="H83" s="5" t="s">
        <v>343</v>
      </c>
      <c r="I83" s="5" t="s">
        <v>344</v>
      </c>
      <c r="J83" s="5" t="s">
        <v>345</v>
      </c>
      <c r="K83" s="5" t="s">
        <v>346</v>
      </c>
      <c r="L83" s="5">
        <v>0</v>
      </c>
      <c r="M83" s="5">
        <v>4</v>
      </c>
      <c r="N83" s="5" t="s">
        <v>347</v>
      </c>
      <c r="O83" s="5">
        <f t="shared" si="4"/>
        <v>0</v>
      </c>
      <c r="P83" s="5" t="s">
        <v>152</v>
      </c>
      <c r="Q83" s="5" t="s">
        <v>153</v>
      </c>
      <c r="R83" s="5">
        <v>100</v>
      </c>
      <c r="S83" s="5" t="str">
        <f t="shared" si="5"/>
        <v>Rechazado</v>
      </c>
      <c r="T83" s="5">
        <f t="shared" si="6"/>
        <v>0</v>
      </c>
      <c r="U83" s="5" t="str">
        <f t="shared" si="7"/>
        <v>No aceptable</v>
      </c>
      <c r="V83" s="5" t="s">
        <v>462</v>
      </c>
      <c r="W83" s="5" t="s">
        <v>214</v>
      </c>
      <c r="X83" s="5" t="s">
        <v>463</v>
      </c>
      <c r="Y83" s="5" t="s">
        <v>464</v>
      </c>
      <c r="Z83" s="5"/>
    </row>
    <row r="84" spans="1:26" ht="105" x14ac:dyDescent="0.25">
      <c r="A84" s="5" t="s">
        <v>61</v>
      </c>
      <c r="B84" s="5" t="s">
        <v>54</v>
      </c>
      <c r="C84" s="5" t="s">
        <v>60</v>
      </c>
      <c r="D84" s="5" t="s">
        <v>212</v>
      </c>
      <c r="E84" s="5" t="s">
        <v>226</v>
      </c>
      <c r="F84" s="5" t="s">
        <v>351</v>
      </c>
      <c r="G84" s="5" t="s">
        <v>352</v>
      </c>
      <c r="H84" s="5" t="s">
        <v>353</v>
      </c>
      <c r="I84" s="5" t="s">
        <v>344</v>
      </c>
      <c r="J84" s="5" t="s">
        <v>345</v>
      </c>
      <c r="K84" s="5" t="s">
        <v>346</v>
      </c>
      <c r="L84" s="5">
        <v>4</v>
      </c>
      <c r="M84" s="5">
        <v>4</v>
      </c>
      <c r="N84" s="5" t="s">
        <v>347</v>
      </c>
      <c r="O84" s="5">
        <f t="shared" si="4"/>
        <v>100</v>
      </c>
      <c r="P84" s="5" t="s">
        <v>152</v>
      </c>
      <c r="Q84" s="5" t="s">
        <v>153</v>
      </c>
      <c r="R84" s="5">
        <v>100</v>
      </c>
      <c r="S84" s="5" t="str">
        <f t="shared" si="5"/>
        <v>Aprobado</v>
      </c>
      <c r="T84" s="5">
        <f t="shared" si="6"/>
        <v>100</v>
      </c>
      <c r="U84" s="5" t="str">
        <f t="shared" si="7"/>
        <v>Supera los requisitos</v>
      </c>
      <c r="V84" s="5" t="s">
        <v>465</v>
      </c>
      <c r="W84" s="5" t="s">
        <v>214</v>
      </c>
      <c r="X84" s="5" t="s">
        <v>466</v>
      </c>
      <c r="Y84" s="5" t="s">
        <v>467</v>
      </c>
      <c r="Z84" s="5"/>
    </row>
    <row r="85" spans="1:26" ht="90" x14ac:dyDescent="0.25">
      <c r="A85" s="5" t="s">
        <v>61</v>
      </c>
      <c r="B85" s="5" t="s">
        <v>54</v>
      </c>
      <c r="C85" s="5" t="s">
        <v>60</v>
      </c>
      <c r="D85" s="5" t="s">
        <v>212</v>
      </c>
      <c r="E85" s="5" t="s">
        <v>226</v>
      </c>
      <c r="F85" s="5" t="s">
        <v>356</v>
      </c>
      <c r="G85" s="5" t="s">
        <v>357</v>
      </c>
      <c r="H85" s="5" t="s">
        <v>358</v>
      </c>
      <c r="I85" s="5" t="s">
        <v>344</v>
      </c>
      <c r="J85" s="5" t="s">
        <v>345</v>
      </c>
      <c r="K85" s="5" t="s">
        <v>346</v>
      </c>
      <c r="L85" s="5">
        <v>4</v>
      </c>
      <c r="M85" s="5">
        <v>4</v>
      </c>
      <c r="N85" s="5" t="s">
        <v>347</v>
      </c>
      <c r="O85" s="5">
        <f t="shared" si="4"/>
        <v>100</v>
      </c>
      <c r="P85" s="5" t="s">
        <v>152</v>
      </c>
      <c r="Q85" s="5" t="s">
        <v>153</v>
      </c>
      <c r="R85" s="5">
        <v>100</v>
      </c>
      <c r="S85" s="5" t="str">
        <f t="shared" si="5"/>
        <v>Aprobado</v>
      </c>
      <c r="T85" s="5">
        <f t="shared" si="6"/>
        <v>100</v>
      </c>
      <c r="U85" s="5" t="str">
        <f t="shared" si="7"/>
        <v>Supera los requisitos</v>
      </c>
      <c r="V85" s="5" t="s">
        <v>468</v>
      </c>
      <c r="W85" s="5" t="s">
        <v>214</v>
      </c>
      <c r="X85" s="5"/>
      <c r="Y85" s="5" t="s">
        <v>355</v>
      </c>
      <c r="Z85" s="5"/>
    </row>
    <row r="86" spans="1:26" ht="90" x14ac:dyDescent="0.25">
      <c r="A86" s="5" t="s">
        <v>61</v>
      </c>
      <c r="B86" s="5" t="s">
        <v>54</v>
      </c>
      <c r="C86" s="5" t="s">
        <v>60</v>
      </c>
      <c r="D86" s="5" t="s">
        <v>212</v>
      </c>
      <c r="E86" s="5" t="s">
        <v>226</v>
      </c>
      <c r="F86" s="5" t="s">
        <v>360</v>
      </c>
      <c r="G86" s="5" t="s">
        <v>361</v>
      </c>
      <c r="H86" s="5" t="s">
        <v>362</v>
      </c>
      <c r="I86" s="5" t="s">
        <v>344</v>
      </c>
      <c r="J86" s="5" t="s">
        <v>345</v>
      </c>
      <c r="K86" s="5" t="s">
        <v>346</v>
      </c>
      <c r="L86" s="5">
        <v>4</v>
      </c>
      <c r="M86" s="5">
        <v>4</v>
      </c>
      <c r="N86" s="5" t="s">
        <v>347</v>
      </c>
      <c r="O86" s="5">
        <f t="shared" si="4"/>
        <v>100</v>
      </c>
      <c r="P86" s="5" t="s">
        <v>152</v>
      </c>
      <c r="Q86" s="5" t="s">
        <v>153</v>
      </c>
      <c r="R86" s="5">
        <v>100</v>
      </c>
      <c r="S86" s="5" t="str">
        <f t="shared" si="5"/>
        <v>Aprobado</v>
      </c>
      <c r="T86" s="5">
        <f t="shared" si="6"/>
        <v>100</v>
      </c>
      <c r="U86" s="5" t="str">
        <f t="shared" si="7"/>
        <v>Supera los requisitos</v>
      </c>
      <c r="V86" s="5" t="s">
        <v>469</v>
      </c>
      <c r="W86" s="5" t="s">
        <v>214</v>
      </c>
      <c r="X86" s="5"/>
      <c r="Y86" s="5" t="s">
        <v>355</v>
      </c>
      <c r="Z86" s="5"/>
    </row>
    <row r="87" spans="1:26" ht="90" x14ac:dyDescent="0.25">
      <c r="A87" s="5" t="s">
        <v>61</v>
      </c>
      <c r="B87" s="5" t="s">
        <v>54</v>
      </c>
      <c r="C87" s="5" t="s">
        <v>60</v>
      </c>
      <c r="D87" s="5" t="s">
        <v>212</v>
      </c>
      <c r="E87" s="5" t="s">
        <v>226</v>
      </c>
      <c r="F87" s="5" t="s">
        <v>364</v>
      </c>
      <c r="G87" s="5" t="s">
        <v>365</v>
      </c>
      <c r="H87" s="5" t="s">
        <v>366</v>
      </c>
      <c r="I87" s="5" t="s">
        <v>344</v>
      </c>
      <c r="J87" s="5" t="s">
        <v>345</v>
      </c>
      <c r="K87" s="5" t="s">
        <v>346</v>
      </c>
      <c r="L87" s="5">
        <v>4</v>
      </c>
      <c r="M87" s="5">
        <v>4</v>
      </c>
      <c r="N87" s="5" t="s">
        <v>347</v>
      </c>
      <c r="O87" s="5">
        <f t="shared" si="4"/>
        <v>100</v>
      </c>
      <c r="P87" s="5" t="s">
        <v>152</v>
      </c>
      <c r="Q87" s="5" t="s">
        <v>153</v>
      </c>
      <c r="R87" s="5">
        <v>100</v>
      </c>
      <c r="S87" s="5" t="str">
        <f t="shared" si="5"/>
        <v>Aprobado</v>
      </c>
      <c r="T87" s="5">
        <f t="shared" si="6"/>
        <v>100</v>
      </c>
      <c r="U87" s="5" t="str">
        <f t="shared" si="7"/>
        <v>Supera los requisitos</v>
      </c>
      <c r="V87" s="5" t="s">
        <v>470</v>
      </c>
      <c r="W87" s="5" t="s">
        <v>214</v>
      </c>
      <c r="X87" s="5"/>
      <c r="Y87" s="5" t="s">
        <v>355</v>
      </c>
      <c r="Z87" s="5"/>
    </row>
    <row r="88" spans="1:26" ht="90" x14ac:dyDescent="0.25">
      <c r="A88" s="5" t="s">
        <v>61</v>
      </c>
      <c r="B88" s="5" t="s">
        <v>54</v>
      </c>
      <c r="C88" s="5" t="s">
        <v>60</v>
      </c>
      <c r="D88" s="5" t="s">
        <v>212</v>
      </c>
      <c r="E88" s="5" t="s">
        <v>226</v>
      </c>
      <c r="F88" s="5" t="s">
        <v>368</v>
      </c>
      <c r="G88" s="5" t="s">
        <v>369</v>
      </c>
      <c r="H88" s="5" t="s">
        <v>370</v>
      </c>
      <c r="I88" s="5" t="s">
        <v>344</v>
      </c>
      <c r="J88" s="5" t="s">
        <v>345</v>
      </c>
      <c r="K88" s="5" t="s">
        <v>346</v>
      </c>
      <c r="L88" s="5">
        <v>4</v>
      </c>
      <c r="M88" s="5">
        <v>4</v>
      </c>
      <c r="N88" s="5" t="s">
        <v>347</v>
      </c>
      <c r="O88" s="5">
        <f t="shared" si="4"/>
        <v>100</v>
      </c>
      <c r="P88" s="5" t="s">
        <v>152</v>
      </c>
      <c r="Q88" s="5" t="s">
        <v>153</v>
      </c>
      <c r="R88" s="5">
        <v>100</v>
      </c>
      <c r="S88" s="5" t="str">
        <f t="shared" si="5"/>
        <v>Aprobado</v>
      </c>
      <c r="T88" s="5">
        <f t="shared" si="6"/>
        <v>100</v>
      </c>
      <c r="U88" s="5" t="str">
        <f t="shared" si="7"/>
        <v>Supera los requisitos</v>
      </c>
      <c r="V88" s="5" t="s">
        <v>471</v>
      </c>
      <c r="W88" s="5" t="s">
        <v>214</v>
      </c>
      <c r="X88" s="5"/>
      <c r="Y88" s="5" t="s">
        <v>355</v>
      </c>
      <c r="Z88" s="5"/>
    </row>
    <row r="89" spans="1:26" ht="90" x14ac:dyDescent="0.25">
      <c r="A89" s="5" t="s">
        <v>61</v>
      </c>
      <c r="B89" s="5" t="s">
        <v>54</v>
      </c>
      <c r="C89" s="5" t="s">
        <v>60</v>
      </c>
      <c r="D89" s="5" t="s">
        <v>212</v>
      </c>
      <c r="E89" s="5" t="s">
        <v>226</v>
      </c>
      <c r="F89" s="5" t="s">
        <v>372</v>
      </c>
      <c r="G89" s="5" t="s">
        <v>373</v>
      </c>
      <c r="H89" s="5" t="s">
        <v>374</v>
      </c>
      <c r="I89" s="5" t="s">
        <v>344</v>
      </c>
      <c r="J89" s="5" t="s">
        <v>345</v>
      </c>
      <c r="K89" s="5" t="s">
        <v>346</v>
      </c>
      <c r="L89" s="5">
        <v>4</v>
      </c>
      <c r="M89" s="5">
        <v>4</v>
      </c>
      <c r="N89" s="5" t="s">
        <v>347</v>
      </c>
      <c r="O89" s="5">
        <f t="shared" si="4"/>
        <v>100</v>
      </c>
      <c r="P89" s="5" t="s">
        <v>152</v>
      </c>
      <c r="Q89" s="5" t="s">
        <v>153</v>
      </c>
      <c r="R89" s="5">
        <v>100</v>
      </c>
      <c r="S89" s="5" t="str">
        <f t="shared" si="5"/>
        <v>Aprobado</v>
      </c>
      <c r="T89" s="5">
        <f t="shared" si="6"/>
        <v>100</v>
      </c>
      <c r="U89" s="5" t="str">
        <f t="shared" si="7"/>
        <v>Supera los requisitos</v>
      </c>
      <c r="V89" s="5" t="s">
        <v>472</v>
      </c>
      <c r="W89" s="5" t="s">
        <v>214</v>
      </c>
      <c r="X89" s="5"/>
      <c r="Y89" s="5" t="s">
        <v>355</v>
      </c>
      <c r="Z89" s="5"/>
    </row>
    <row r="90" spans="1:26" ht="90" x14ac:dyDescent="0.25">
      <c r="A90" s="5" t="s">
        <v>61</v>
      </c>
      <c r="B90" s="5" t="s">
        <v>54</v>
      </c>
      <c r="C90" s="5" t="s">
        <v>60</v>
      </c>
      <c r="D90" s="5" t="s">
        <v>212</v>
      </c>
      <c r="E90" s="5" t="s">
        <v>226</v>
      </c>
      <c r="F90" s="5" t="s">
        <v>378</v>
      </c>
      <c r="G90" s="5" t="s">
        <v>379</v>
      </c>
      <c r="H90" s="5" t="s">
        <v>380</v>
      </c>
      <c r="I90" s="5" t="s">
        <v>344</v>
      </c>
      <c r="J90" s="5" t="s">
        <v>345</v>
      </c>
      <c r="K90" s="5" t="s">
        <v>346</v>
      </c>
      <c r="L90" s="5">
        <v>4</v>
      </c>
      <c r="M90" s="5">
        <v>4</v>
      </c>
      <c r="N90" s="5" t="s">
        <v>347</v>
      </c>
      <c r="O90" s="5">
        <f t="shared" si="4"/>
        <v>100</v>
      </c>
      <c r="P90" s="5" t="s">
        <v>152</v>
      </c>
      <c r="Q90" s="5" t="s">
        <v>153</v>
      </c>
      <c r="R90" s="5">
        <v>100</v>
      </c>
      <c r="S90" s="5" t="str">
        <f t="shared" si="5"/>
        <v>Aprobado</v>
      </c>
      <c r="T90" s="5">
        <f t="shared" si="6"/>
        <v>100</v>
      </c>
      <c r="U90" s="5" t="str">
        <f t="shared" si="7"/>
        <v>Supera los requisitos</v>
      </c>
      <c r="V90" s="5" t="s">
        <v>473</v>
      </c>
      <c r="W90" s="5" t="s">
        <v>214</v>
      </c>
      <c r="X90" s="5"/>
      <c r="Y90" s="5" t="s">
        <v>355</v>
      </c>
      <c r="Z90" s="5"/>
    </row>
    <row r="91" spans="1:26" ht="90" x14ac:dyDescent="0.25">
      <c r="A91" s="5" t="s">
        <v>61</v>
      </c>
      <c r="B91" s="5" t="s">
        <v>54</v>
      </c>
      <c r="C91" s="5" t="s">
        <v>60</v>
      </c>
      <c r="D91" s="5" t="s">
        <v>212</v>
      </c>
      <c r="E91" s="5" t="s">
        <v>226</v>
      </c>
      <c r="F91" s="5" t="s">
        <v>384</v>
      </c>
      <c r="G91" s="5" t="s">
        <v>385</v>
      </c>
      <c r="H91" s="5" t="s">
        <v>386</v>
      </c>
      <c r="I91" s="5" t="s">
        <v>344</v>
      </c>
      <c r="J91" s="5" t="s">
        <v>345</v>
      </c>
      <c r="K91" s="5" t="s">
        <v>346</v>
      </c>
      <c r="L91" s="5">
        <v>4</v>
      </c>
      <c r="M91" s="5">
        <v>4</v>
      </c>
      <c r="N91" s="5" t="s">
        <v>347</v>
      </c>
      <c r="O91" s="5">
        <f t="shared" si="4"/>
        <v>100</v>
      </c>
      <c r="P91" s="5" t="s">
        <v>152</v>
      </c>
      <c r="Q91" s="5" t="s">
        <v>153</v>
      </c>
      <c r="R91" s="5">
        <v>100</v>
      </c>
      <c r="S91" s="5" t="str">
        <f t="shared" si="5"/>
        <v>Aprobado</v>
      </c>
      <c r="T91" s="5">
        <f t="shared" si="6"/>
        <v>100</v>
      </c>
      <c r="U91" s="5" t="str">
        <f t="shared" si="7"/>
        <v>Supera los requisitos</v>
      </c>
      <c r="V91" s="5" t="s">
        <v>474</v>
      </c>
      <c r="W91" s="5" t="s">
        <v>214</v>
      </c>
      <c r="X91" s="5"/>
      <c r="Y91" s="5" t="s">
        <v>355</v>
      </c>
      <c r="Z91" s="5"/>
    </row>
    <row r="92" spans="1:26" ht="90" x14ac:dyDescent="0.25">
      <c r="A92" s="5" t="s">
        <v>63</v>
      </c>
      <c r="B92" s="5" t="s">
        <v>54</v>
      </c>
      <c r="C92" s="5" t="s">
        <v>62</v>
      </c>
      <c r="D92" s="5" t="s">
        <v>233</v>
      </c>
      <c r="E92" s="5" t="s">
        <v>213</v>
      </c>
      <c r="F92" s="5" t="s">
        <v>341</v>
      </c>
      <c r="G92" s="5" t="s">
        <v>342</v>
      </c>
      <c r="H92" s="5" t="s">
        <v>343</v>
      </c>
      <c r="I92" s="5" t="s">
        <v>344</v>
      </c>
      <c r="J92" s="5" t="s">
        <v>345</v>
      </c>
      <c r="K92" s="5" t="s">
        <v>346</v>
      </c>
      <c r="L92" s="5">
        <v>5</v>
      </c>
      <c r="M92" s="5">
        <v>5</v>
      </c>
      <c r="N92" s="5" t="s">
        <v>347</v>
      </c>
      <c r="O92" s="5">
        <f t="shared" si="4"/>
        <v>100</v>
      </c>
      <c r="P92" s="5" t="s">
        <v>152</v>
      </c>
      <c r="Q92" s="5" t="s">
        <v>153</v>
      </c>
      <c r="R92" s="5">
        <v>100</v>
      </c>
      <c r="S92" s="5" t="str">
        <f t="shared" si="5"/>
        <v>Aprobado</v>
      </c>
      <c r="T92" s="5">
        <f t="shared" si="6"/>
        <v>100</v>
      </c>
      <c r="U92" s="5" t="str">
        <f t="shared" si="7"/>
        <v>Supera los requisitos</v>
      </c>
      <c r="V92" s="5" t="s">
        <v>453</v>
      </c>
      <c r="W92" s="5" t="s">
        <v>214</v>
      </c>
      <c r="X92" s="5"/>
      <c r="Y92" s="5" t="s">
        <v>355</v>
      </c>
      <c r="Z92" s="5"/>
    </row>
    <row r="93" spans="1:26" ht="90" x14ac:dyDescent="0.25">
      <c r="A93" s="5" t="s">
        <v>63</v>
      </c>
      <c r="B93" s="5" t="s">
        <v>54</v>
      </c>
      <c r="C93" s="5" t="s">
        <v>62</v>
      </c>
      <c r="D93" s="5" t="s">
        <v>233</v>
      </c>
      <c r="E93" s="5" t="s">
        <v>213</v>
      </c>
      <c r="F93" s="5" t="s">
        <v>351</v>
      </c>
      <c r="G93" s="5" t="s">
        <v>352</v>
      </c>
      <c r="H93" s="5" t="s">
        <v>353</v>
      </c>
      <c r="I93" s="5" t="s">
        <v>344</v>
      </c>
      <c r="J93" s="5" t="s">
        <v>345</v>
      </c>
      <c r="K93" s="5" t="s">
        <v>346</v>
      </c>
      <c r="L93" s="5">
        <v>5</v>
      </c>
      <c r="M93" s="5">
        <v>5</v>
      </c>
      <c r="N93" s="5" t="s">
        <v>347</v>
      </c>
      <c r="O93" s="5">
        <f t="shared" si="4"/>
        <v>100</v>
      </c>
      <c r="P93" s="5" t="s">
        <v>152</v>
      </c>
      <c r="Q93" s="5" t="s">
        <v>153</v>
      </c>
      <c r="R93" s="5">
        <v>100</v>
      </c>
      <c r="S93" s="5" t="str">
        <f t="shared" si="5"/>
        <v>Aprobado</v>
      </c>
      <c r="T93" s="5">
        <f t="shared" si="6"/>
        <v>100</v>
      </c>
      <c r="U93" s="5" t="str">
        <f t="shared" si="7"/>
        <v>Supera los requisitos</v>
      </c>
      <c r="V93" s="5" t="s">
        <v>454</v>
      </c>
      <c r="W93" s="5" t="s">
        <v>214</v>
      </c>
      <c r="X93" s="5"/>
      <c r="Y93" s="5" t="s">
        <v>355</v>
      </c>
      <c r="Z93" s="5"/>
    </row>
    <row r="94" spans="1:26" ht="90" x14ac:dyDescent="0.25">
      <c r="A94" s="5" t="s">
        <v>63</v>
      </c>
      <c r="B94" s="5" t="s">
        <v>54</v>
      </c>
      <c r="C94" s="5" t="s">
        <v>62</v>
      </c>
      <c r="D94" s="5" t="s">
        <v>233</v>
      </c>
      <c r="E94" s="5" t="s">
        <v>213</v>
      </c>
      <c r="F94" s="5" t="s">
        <v>356</v>
      </c>
      <c r="G94" s="5" t="s">
        <v>357</v>
      </c>
      <c r="H94" s="5" t="s">
        <v>358</v>
      </c>
      <c r="I94" s="5" t="s">
        <v>344</v>
      </c>
      <c r="J94" s="5" t="s">
        <v>345</v>
      </c>
      <c r="K94" s="5" t="s">
        <v>346</v>
      </c>
      <c r="L94" s="5">
        <v>5</v>
      </c>
      <c r="M94" s="5">
        <v>5</v>
      </c>
      <c r="N94" s="5" t="s">
        <v>347</v>
      </c>
      <c r="O94" s="5">
        <f t="shared" si="4"/>
        <v>100</v>
      </c>
      <c r="P94" s="5" t="s">
        <v>152</v>
      </c>
      <c r="Q94" s="5" t="s">
        <v>153</v>
      </c>
      <c r="R94" s="5">
        <v>100</v>
      </c>
      <c r="S94" s="5" t="str">
        <f t="shared" si="5"/>
        <v>Aprobado</v>
      </c>
      <c r="T94" s="5">
        <f t="shared" si="6"/>
        <v>100</v>
      </c>
      <c r="U94" s="5" t="str">
        <f t="shared" si="7"/>
        <v>Supera los requisitos</v>
      </c>
      <c r="V94" s="5" t="s">
        <v>455</v>
      </c>
      <c r="W94" s="5" t="s">
        <v>214</v>
      </c>
      <c r="X94" s="5"/>
      <c r="Y94" s="5" t="s">
        <v>355</v>
      </c>
      <c r="Z94" s="5"/>
    </row>
    <row r="95" spans="1:26" ht="90" x14ac:dyDescent="0.25">
      <c r="A95" s="5" t="s">
        <v>63</v>
      </c>
      <c r="B95" s="5" t="s">
        <v>54</v>
      </c>
      <c r="C95" s="5" t="s">
        <v>62</v>
      </c>
      <c r="D95" s="5" t="s">
        <v>233</v>
      </c>
      <c r="E95" s="5" t="s">
        <v>213</v>
      </c>
      <c r="F95" s="5" t="s">
        <v>360</v>
      </c>
      <c r="G95" s="5" t="s">
        <v>361</v>
      </c>
      <c r="H95" s="5" t="s">
        <v>362</v>
      </c>
      <c r="I95" s="5" t="s">
        <v>344</v>
      </c>
      <c r="J95" s="5" t="s">
        <v>345</v>
      </c>
      <c r="K95" s="5" t="s">
        <v>346</v>
      </c>
      <c r="L95" s="5">
        <v>5</v>
      </c>
      <c r="M95" s="5">
        <v>5</v>
      </c>
      <c r="N95" s="5" t="s">
        <v>347</v>
      </c>
      <c r="O95" s="5">
        <f t="shared" si="4"/>
        <v>100</v>
      </c>
      <c r="P95" s="5" t="s">
        <v>152</v>
      </c>
      <c r="Q95" s="5" t="s">
        <v>153</v>
      </c>
      <c r="R95" s="5">
        <v>100</v>
      </c>
      <c r="S95" s="5" t="str">
        <f t="shared" si="5"/>
        <v>Aprobado</v>
      </c>
      <c r="T95" s="5">
        <f t="shared" si="6"/>
        <v>100</v>
      </c>
      <c r="U95" s="5" t="str">
        <f t="shared" si="7"/>
        <v>Supera los requisitos</v>
      </c>
      <c r="V95" s="5" t="s">
        <v>456</v>
      </c>
      <c r="W95" s="5" t="s">
        <v>214</v>
      </c>
      <c r="X95" s="5"/>
      <c r="Y95" s="5" t="s">
        <v>355</v>
      </c>
      <c r="Z95" s="5"/>
    </row>
    <row r="96" spans="1:26" ht="120" x14ac:dyDescent="0.25">
      <c r="A96" s="5" t="s">
        <v>63</v>
      </c>
      <c r="B96" s="5" t="s">
        <v>54</v>
      </c>
      <c r="C96" s="5" t="s">
        <v>62</v>
      </c>
      <c r="D96" s="5" t="s">
        <v>233</v>
      </c>
      <c r="E96" s="5" t="s">
        <v>213</v>
      </c>
      <c r="F96" s="5" t="s">
        <v>364</v>
      </c>
      <c r="G96" s="5" t="s">
        <v>365</v>
      </c>
      <c r="H96" s="5" t="s">
        <v>366</v>
      </c>
      <c r="I96" s="5" t="s">
        <v>344</v>
      </c>
      <c r="J96" s="5" t="s">
        <v>345</v>
      </c>
      <c r="K96" s="5" t="s">
        <v>346</v>
      </c>
      <c r="L96" s="5">
        <v>5</v>
      </c>
      <c r="M96" s="5">
        <v>5</v>
      </c>
      <c r="N96" s="5" t="s">
        <v>347</v>
      </c>
      <c r="O96" s="5">
        <f t="shared" si="4"/>
        <v>100</v>
      </c>
      <c r="P96" s="5" t="s">
        <v>152</v>
      </c>
      <c r="Q96" s="5" t="s">
        <v>153</v>
      </c>
      <c r="R96" s="5">
        <v>100</v>
      </c>
      <c r="S96" s="5" t="str">
        <f t="shared" si="5"/>
        <v>Aprobado</v>
      </c>
      <c r="T96" s="5">
        <f t="shared" si="6"/>
        <v>100</v>
      </c>
      <c r="U96" s="5" t="str">
        <f t="shared" si="7"/>
        <v>Supera los requisitos</v>
      </c>
      <c r="V96" s="5" t="s">
        <v>457</v>
      </c>
      <c r="W96" s="5" t="s">
        <v>214</v>
      </c>
      <c r="X96" s="5" t="s">
        <v>475</v>
      </c>
      <c r="Y96" s="5" t="s">
        <v>476</v>
      </c>
      <c r="Z96" s="5"/>
    </row>
    <row r="97" spans="1:26" ht="90" x14ac:dyDescent="0.25">
      <c r="A97" s="5" t="s">
        <v>63</v>
      </c>
      <c r="B97" s="5" t="s">
        <v>54</v>
      </c>
      <c r="C97" s="5" t="s">
        <v>62</v>
      </c>
      <c r="D97" s="5" t="s">
        <v>233</v>
      </c>
      <c r="E97" s="5" t="s">
        <v>213</v>
      </c>
      <c r="F97" s="5" t="s">
        <v>368</v>
      </c>
      <c r="G97" s="5" t="s">
        <v>369</v>
      </c>
      <c r="H97" s="5" t="s">
        <v>370</v>
      </c>
      <c r="I97" s="5" t="s">
        <v>344</v>
      </c>
      <c r="J97" s="5" t="s">
        <v>345</v>
      </c>
      <c r="K97" s="5" t="s">
        <v>346</v>
      </c>
      <c r="L97" s="5">
        <v>5</v>
      </c>
      <c r="M97" s="5">
        <v>5</v>
      </c>
      <c r="N97" s="5" t="s">
        <v>347</v>
      </c>
      <c r="O97" s="5">
        <f t="shared" si="4"/>
        <v>100</v>
      </c>
      <c r="P97" s="5" t="s">
        <v>152</v>
      </c>
      <c r="Q97" s="5" t="s">
        <v>153</v>
      </c>
      <c r="R97" s="5">
        <v>100</v>
      </c>
      <c r="S97" s="5" t="str">
        <f t="shared" si="5"/>
        <v>Aprobado</v>
      </c>
      <c r="T97" s="5">
        <f t="shared" si="6"/>
        <v>100</v>
      </c>
      <c r="U97" s="5" t="str">
        <f t="shared" si="7"/>
        <v>Supera los requisitos</v>
      </c>
      <c r="V97" s="5" t="s">
        <v>458</v>
      </c>
      <c r="W97" s="5" t="s">
        <v>214</v>
      </c>
      <c r="X97" s="5" t="s">
        <v>477</v>
      </c>
      <c r="Y97" s="5" t="s">
        <v>478</v>
      </c>
      <c r="Z97" s="5"/>
    </row>
    <row r="98" spans="1:26" ht="90" x14ac:dyDescent="0.25">
      <c r="A98" s="5" t="s">
        <v>63</v>
      </c>
      <c r="B98" s="5" t="s">
        <v>54</v>
      </c>
      <c r="C98" s="5" t="s">
        <v>62</v>
      </c>
      <c r="D98" s="5" t="s">
        <v>233</v>
      </c>
      <c r="E98" s="5" t="s">
        <v>213</v>
      </c>
      <c r="F98" s="5" t="s">
        <v>372</v>
      </c>
      <c r="G98" s="5" t="s">
        <v>373</v>
      </c>
      <c r="H98" s="5" t="s">
        <v>374</v>
      </c>
      <c r="I98" s="5" t="s">
        <v>344</v>
      </c>
      <c r="J98" s="5" t="s">
        <v>345</v>
      </c>
      <c r="K98" s="5" t="s">
        <v>346</v>
      </c>
      <c r="L98" s="5">
        <v>5</v>
      </c>
      <c r="M98" s="5">
        <v>5</v>
      </c>
      <c r="N98" s="5" t="s">
        <v>347</v>
      </c>
      <c r="O98" s="5">
        <f t="shared" si="4"/>
        <v>100</v>
      </c>
      <c r="P98" s="5" t="s">
        <v>152</v>
      </c>
      <c r="Q98" s="5" t="s">
        <v>153</v>
      </c>
      <c r="R98" s="5">
        <v>100</v>
      </c>
      <c r="S98" s="5" t="str">
        <f t="shared" si="5"/>
        <v>Aprobado</v>
      </c>
      <c r="T98" s="5">
        <f t="shared" si="6"/>
        <v>100</v>
      </c>
      <c r="U98" s="5" t="str">
        <f t="shared" si="7"/>
        <v>Supera los requisitos</v>
      </c>
      <c r="V98" s="5" t="s">
        <v>459</v>
      </c>
      <c r="W98" s="5" t="s">
        <v>214</v>
      </c>
      <c r="X98" s="5"/>
      <c r="Y98" s="5" t="s">
        <v>355</v>
      </c>
      <c r="Z98" s="5"/>
    </row>
    <row r="99" spans="1:26" ht="90" x14ac:dyDescent="0.25">
      <c r="A99" s="5" t="s">
        <v>63</v>
      </c>
      <c r="B99" s="5" t="s">
        <v>54</v>
      </c>
      <c r="C99" s="5" t="s">
        <v>62</v>
      </c>
      <c r="D99" s="5" t="s">
        <v>233</v>
      </c>
      <c r="E99" s="5" t="s">
        <v>213</v>
      </c>
      <c r="F99" s="5" t="s">
        <v>378</v>
      </c>
      <c r="G99" s="5" t="s">
        <v>379</v>
      </c>
      <c r="H99" s="5" t="s">
        <v>380</v>
      </c>
      <c r="I99" s="5" t="s">
        <v>344</v>
      </c>
      <c r="J99" s="5" t="s">
        <v>345</v>
      </c>
      <c r="K99" s="5" t="s">
        <v>346</v>
      </c>
      <c r="L99" s="5">
        <v>5</v>
      </c>
      <c r="M99" s="5">
        <v>5</v>
      </c>
      <c r="N99" s="5" t="s">
        <v>347</v>
      </c>
      <c r="O99" s="5">
        <f t="shared" si="4"/>
        <v>100</v>
      </c>
      <c r="P99" s="5" t="s">
        <v>152</v>
      </c>
      <c r="Q99" s="5" t="s">
        <v>153</v>
      </c>
      <c r="R99" s="5">
        <v>100</v>
      </c>
      <c r="S99" s="5" t="str">
        <f t="shared" si="5"/>
        <v>Aprobado</v>
      </c>
      <c r="T99" s="5">
        <f t="shared" si="6"/>
        <v>100</v>
      </c>
      <c r="U99" s="5" t="str">
        <f t="shared" si="7"/>
        <v>Supera los requisitos</v>
      </c>
      <c r="V99" s="5" t="s">
        <v>460</v>
      </c>
      <c r="W99" s="5" t="s">
        <v>214</v>
      </c>
      <c r="X99" s="5"/>
      <c r="Y99" s="5" t="s">
        <v>355</v>
      </c>
      <c r="Z99" s="5"/>
    </row>
    <row r="100" spans="1:26" ht="90" x14ac:dyDescent="0.25">
      <c r="A100" s="5" t="s">
        <v>63</v>
      </c>
      <c r="B100" s="5" t="s">
        <v>54</v>
      </c>
      <c r="C100" s="5" t="s">
        <v>62</v>
      </c>
      <c r="D100" s="5" t="s">
        <v>233</v>
      </c>
      <c r="E100" s="5" t="s">
        <v>213</v>
      </c>
      <c r="F100" s="5" t="s">
        <v>384</v>
      </c>
      <c r="G100" s="5" t="s">
        <v>385</v>
      </c>
      <c r="H100" s="5" t="s">
        <v>386</v>
      </c>
      <c r="I100" s="5" t="s">
        <v>344</v>
      </c>
      <c r="J100" s="5" t="s">
        <v>345</v>
      </c>
      <c r="K100" s="5" t="s">
        <v>346</v>
      </c>
      <c r="L100" s="5">
        <v>5</v>
      </c>
      <c r="M100" s="5">
        <v>5</v>
      </c>
      <c r="N100" s="5" t="s">
        <v>347</v>
      </c>
      <c r="O100" s="5">
        <f t="shared" si="4"/>
        <v>100</v>
      </c>
      <c r="P100" s="5" t="s">
        <v>152</v>
      </c>
      <c r="Q100" s="5" t="s">
        <v>153</v>
      </c>
      <c r="R100" s="5">
        <v>100</v>
      </c>
      <c r="S100" s="5" t="str">
        <f t="shared" si="5"/>
        <v>Aprobado</v>
      </c>
      <c r="T100" s="5">
        <f t="shared" si="6"/>
        <v>100</v>
      </c>
      <c r="U100" s="5" t="str">
        <f t="shared" si="7"/>
        <v>Supera los requisitos</v>
      </c>
      <c r="V100" s="5" t="s">
        <v>461</v>
      </c>
      <c r="W100" s="5" t="s">
        <v>214</v>
      </c>
      <c r="X100" s="5"/>
      <c r="Y100" s="5" t="s">
        <v>355</v>
      </c>
      <c r="Z100" s="5"/>
    </row>
    <row r="101" spans="1:26" ht="90" x14ac:dyDescent="0.25">
      <c r="A101" s="5" t="s">
        <v>73</v>
      </c>
      <c r="B101" s="5" t="s">
        <v>70</v>
      </c>
      <c r="C101" s="5" t="s">
        <v>72</v>
      </c>
      <c r="D101" s="5" t="s">
        <v>239</v>
      </c>
      <c r="E101" s="5" t="s">
        <v>240</v>
      </c>
      <c r="F101" s="5" t="s">
        <v>341</v>
      </c>
      <c r="G101" s="5" t="s">
        <v>342</v>
      </c>
      <c r="H101" s="5" t="s">
        <v>343</v>
      </c>
      <c r="I101" s="5" t="s">
        <v>344</v>
      </c>
      <c r="J101" s="5" t="s">
        <v>345</v>
      </c>
      <c r="K101" s="5" t="s">
        <v>346</v>
      </c>
      <c r="L101" s="5">
        <v>3</v>
      </c>
      <c r="M101" s="5">
        <v>9</v>
      </c>
      <c r="N101" s="5" t="s">
        <v>347</v>
      </c>
      <c r="O101" s="5">
        <f t="shared" si="4"/>
        <v>33.33</v>
      </c>
      <c r="P101" s="5" t="s">
        <v>152</v>
      </c>
      <c r="Q101" s="5" t="s">
        <v>153</v>
      </c>
      <c r="R101" s="5">
        <v>100</v>
      </c>
      <c r="S101" s="5" t="str">
        <f t="shared" si="5"/>
        <v>Rechazado</v>
      </c>
      <c r="T101" s="5">
        <f t="shared" si="6"/>
        <v>33.33</v>
      </c>
      <c r="U101" s="5" t="str">
        <f t="shared" si="7"/>
        <v>No aceptable</v>
      </c>
      <c r="V101" s="5" t="s">
        <v>479</v>
      </c>
      <c r="W101" s="5" t="s">
        <v>214</v>
      </c>
      <c r="X101" s="5"/>
      <c r="Y101" s="5" t="s">
        <v>480</v>
      </c>
      <c r="Z101" s="5"/>
    </row>
    <row r="102" spans="1:26" ht="90" x14ac:dyDescent="0.25">
      <c r="A102" s="5" t="s">
        <v>73</v>
      </c>
      <c r="B102" s="5" t="s">
        <v>70</v>
      </c>
      <c r="C102" s="5" t="s">
        <v>72</v>
      </c>
      <c r="D102" s="5" t="s">
        <v>239</v>
      </c>
      <c r="E102" s="5" t="s">
        <v>240</v>
      </c>
      <c r="F102" s="5" t="s">
        <v>351</v>
      </c>
      <c r="G102" s="5" t="s">
        <v>352</v>
      </c>
      <c r="H102" s="5" t="s">
        <v>353</v>
      </c>
      <c r="I102" s="5" t="s">
        <v>344</v>
      </c>
      <c r="J102" s="5" t="s">
        <v>345</v>
      </c>
      <c r="K102" s="5" t="s">
        <v>346</v>
      </c>
      <c r="L102" s="5">
        <v>9</v>
      </c>
      <c r="M102" s="5">
        <v>9</v>
      </c>
      <c r="N102" s="5" t="s">
        <v>347</v>
      </c>
      <c r="O102" s="5">
        <f t="shared" si="4"/>
        <v>100</v>
      </c>
      <c r="P102" s="5" t="s">
        <v>152</v>
      </c>
      <c r="Q102" s="5" t="s">
        <v>153</v>
      </c>
      <c r="R102" s="5">
        <v>100</v>
      </c>
      <c r="S102" s="5" t="str">
        <f t="shared" si="5"/>
        <v>Aprobado</v>
      </c>
      <c r="T102" s="5">
        <f t="shared" si="6"/>
        <v>100</v>
      </c>
      <c r="U102" s="5" t="str">
        <f t="shared" si="7"/>
        <v>Supera los requisitos</v>
      </c>
      <c r="V102" s="5" t="s">
        <v>481</v>
      </c>
      <c r="W102" s="5" t="s">
        <v>214</v>
      </c>
      <c r="X102" s="5"/>
      <c r="Y102" s="5" t="s">
        <v>355</v>
      </c>
      <c r="Z102" s="5"/>
    </row>
    <row r="103" spans="1:26" ht="90" x14ac:dyDescent="0.25">
      <c r="A103" s="5" t="s">
        <v>73</v>
      </c>
      <c r="B103" s="5" t="s">
        <v>70</v>
      </c>
      <c r="C103" s="5" t="s">
        <v>72</v>
      </c>
      <c r="D103" s="5" t="s">
        <v>239</v>
      </c>
      <c r="E103" s="5" t="s">
        <v>240</v>
      </c>
      <c r="F103" s="5" t="s">
        <v>356</v>
      </c>
      <c r="G103" s="5" t="s">
        <v>357</v>
      </c>
      <c r="H103" s="5" t="s">
        <v>358</v>
      </c>
      <c r="I103" s="5" t="s">
        <v>344</v>
      </c>
      <c r="J103" s="5" t="s">
        <v>345</v>
      </c>
      <c r="K103" s="5" t="s">
        <v>346</v>
      </c>
      <c r="L103" s="5">
        <v>9</v>
      </c>
      <c r="M103" s="5">
        <v>9</v>
      </c>
      <c r="N103" s="5" t="s">
        <v>347</v>
      </c>
      <c r="O103" s="5">
        <f t="shared" si="4"/>
        <v>100</v>
      </c>
      <c r="P103" s="5" t="s">
        <v>152</v>
      </c>
      <c r="Q103" s="5" t="s">
        <v>153</v>
      </c>
      <c r="R103" s="5">
        <v>100</v>
      </c>
      <c r="S103" s="5" t="str">
        <f t="shared" si="5"/>
        <v>Aprobado</v>
      </c>
      <c r="T103" s="5">
        <f t="shared" si="6"/>
        <v>100</v>
      </c>
      <c r="U103" s="5" t="str">
        <f t="shared" si="7"/>
        <v>Supera los requisitos</v>
      </c>
      <c r="V103" s="5" t="s">
        <v>482</v>
      </c>
      <c r="W103" s="5" t="s">
        <v>214</v>
      </c>
      <c r="X103" s="5"/>
      <c r="Y103" s="5" t="s">
        <v>355</v>
      </c>
      <c r="Z103" s="5"/>
    </row>
    <row r="104" spans="1:26" ht="90" x14ac:dyDescent="0.25">
      <c r="A104" s="5" t="s">
        <v>73</v>
      </c>
      <c r="B104" s="5" t="s">
        <v>70</v>
      </c>
      <c r="C104" s="5" t="s">
        <v>72</v>
      </c>
      <c r="D104" s="5" t="s">
        <v>239</v>
      </c>
      <c r="E104" s="5" t="s">
        <v>240</v>
      </c>
      <c r="F104" s="5" t="s">
        <v>360</v>
      </c>
      <c r="G104" s="5" t="s">
        <v>361</v>
      </c>
      <c r="H104" s="5" t="s">
        <v>362</v>
      </c>
      <c r="I104" s="5" t="s">
        <v>344</v>
      </c>
      <c r="J104" s="5" t="s">
        <v>345</v>
      </c>
      <c r="K104" s="5" t="s">
        <v>346</v>
      </c>
      <c r="L104" s="5">
        <v>9</v>
      </c>
      <c r="M104" s="5">
        <v>9</v>
      </c>
      <c r="N104" s="5" t="s">
        <v>347</v>
      </c>
      <c r="O104" s="5">
        <f t="shared" si="4"/>
        <v>100</v>
      </c>
      <c r="P104" s="5" t="s">
        <v>152</v>
      </c>
      <c r="Q104" s="5" t="s">
        <v>153</v>
      </c>
      <c r="R104" s="5">
        <v>100</v>
      </c>
      <c r="S104" s="5" t="str">
        <f t="shared" si="5"/>
        <v>Aprobado</v>
      </c>
      <c r="T104" s="5">
        <f t="shared" si="6"/>
        <v>100</v>
      </c>
      <c r="U104" s="5" t="str">
        <f t="shared" si="7"/>
        <v>Supera los requisitos</v>
      </c>
      <c r="V104" s="5" t="s">
        <v>483</v>
      </c>
      <c r="W104" s="5" t="s">
        <v>214</v>
      </c>
      <c r="X104" s="5"/>
      <c r="Y104" s="5" t="s">
        <v>355</v>
      </c>
      <c r="Z104" s="5"/>
    </row>
    <row r="105" spans="1:26" ht="90" x14ac:dyDescent="0.25">
      <c r="A105" s="5" t="s">
        <v>73</v>
      </c>
      <c r="B105" s="5" t="s">
        <v>70</v>
      </c>
      <c r="C105" s="5" t="s">
        <v>72</v>
      </c>
      <c r="D105" s="5" t="s">
        <v>239</v>
      </c>
      <c r="E105" s="5" t="s">
        <v>240</v>
      </c>
      <c r="F105" s="5" t="s">
        <v>364</v>
      </c>
      <c r="G105" s="5" t="s">
        <v>365</v>
      </c>
      <c r="H105" s="5" t="s">
        <v>366</v>
      </c>
      <c r="I105" s="5" t="s">
        <v>344</v>
      </c>
      <c r="J105" s="5" t="s">
        <v>345</v>
      </c>
      <c r="K105" s="5" t="s">
        <v>346</v>
      </c>
      <c r="L105" s="5">
        <v>9</v>
      </c>
      <c r="M105" s="5">
        <v>9</v>
      </c>
      <c r="N105" s="5" t="s">
        <v>347</v>
      </c>
      <c r="O105" s="5">
        <f t="shared" si="4"/>
        <v>100</v>
      </c>
      <c r="P105" s="5" t="s">
        <v>152</v>
      </c>
      <c r="Q105" s="5" t="s">
        <v>153</v>
      </c>
      <c r="R105" s="5">
        <v>100</v>
      </c>
      <c r="S105" s="5" t="str">
        <f t="shared" si="5"/>
        <v>Aprobado</v>
      </c>
      <c r="T105" s="5">
        <f t="shared" si="6"/>
        <v>100</v>
      </c>
      <c r="U105" s="5" t="str">
        <f t="shared" si="7"/>
        <v>Supera los requisitos</v>
      </c>
      <c r="V105" s="5" t="s">
        <v>484</v>
      </c>
      <c r="W105" s="5" t="s">
        <v>214</v>
      </c>
      <c r="X105" s="5"/>
      <c r="Y105" s="5" t="s">
        <v>355</v>
      </c>
      <c r="Z105" s="5"/>
    </row>
    <row r="106" spans="1:26" ht="90" x14ac:dyDescent="0.25">
      <c r="A106" s="5" t="s">
        <v>73</v>
      </c>
      <c r="B106" s="5" t="s">
        <v>70</v>
      </c>
      <c r="C106" s="5" t="s">
        <v>72</v>
      </c>
      <c r="D106" s="5" t="s">
        <v>239</v>
      </c>
      <c r="E106" s="5" t="s">
        <v>240</v>
      </c>
      <c r="F106" s="5" t="s">
        <v>368</v>
      </c>
      <c r="G106" s="5" t="s">
        <v>369</v>
      </c>
      <c r="H106" s="5" t="s">
        <v>370</v>
      </c>
      <c r="I106" s="5" t="s">
        <v>344</v>
      </c>
      <c r="J106" s="5" t="s">
        <v>345</v>
      </c>
      <c r="K106" s="5" t="s">
        <v>346</v>
      </c>
      <c r="L106" s="5">
        <v>9</v>
      </c>
      <c r="M106" s="5">
        <v>9</v>
      </c>
      <c r="N106" s="5" t="s">
        <v>347</v>
      </c>
      <c r="O106" s="5">
        <f t="shared" si="4"/>
        <v>100</v>
      </c>
      <c r="P106" s="5" t="s">
        <v>152</v>
      </c>
      <c r="Q106" s="5" t="s">
        <v>153</v>
      </c>
      <c r="R106" s="5">
        <v>100</v>
      </c>
      <c r="S106" s="5" t="str">
        <f t="shared" si="5"/>
        <v>Aprobado</v>
      </c>
      <c r="T106" s="5">
        <f t="shared" si="6"/>
        <v>100</v>
      </c>
      <c r="U106" s="5" t="str">
        <f t="shared" si="7"/>
        <v>Supera los requisitos</v>
      </c>
      <c r="V106" s="5" t="s">
        <v>485</v>
      </c>
      <c r="W106" s="5" t="s">
        <v>214</v>
      </c>
      <c r="X106" s="5"/>
      <c r="Y106" s="5" t="s">
        <v>355</v>
      </c>
      <c r="Z106" s="5"/>
    </row>
    <row r="107" spans="1:26" ht="90" x14ac:dyDescent="0.25">
      <c r="A107" s="5" t="s">
        <v>73</v>
      </c>
      <c r="B107" s="5" t="s">
        <v>70</v>
      </c>
      <c r="C107" s="5" t="s">
        <v>72</v>
      </c>
      <c r="D107" s="5" t="s">
        <v>239</v>
      </c>
      <c r="E107" s="5" t="s">
        <v>240</v>
      </c>
      <c r="F107" s="5" t="s">
        <v>372</v>
      </c>
      <c r="G107" s="5" t="s">
        <v>373</v>
      </c>
      <c r="H107" s="5" t="s">
        <v>374</v>
      </c>
      <c r="I107" s="5" t="s">
        <v>344</v>
      </c>
      <c r="J107" s="5" t="s">
        <v>345</v>
      </c>
      <c r="K107" s="5" t="s">
        <v>346</v>
      </c>
      <c r="L107" s="5">
        <v>9</v>
      </c>
      <c r="M107" s="5">
        <v>9</v>
      </c>
      <c r="N107" s="5" t="s">
        <v>347</v>
      </c>
      <c r="O107" s="5">
        <f t="shared" si="4"/>
        <v>100</v>
      </c>
      <c r="P107" s="5" t="s">
        <v>152</v>
      </c>
      <c r="Q107" s="5" t="s">
        <v>153</v>
      </c>
      <c r="R107" s="5">
        <v>100</v>
      </c>
      <c r="S107" s="5" t="str">
        <f t="shared" si="5"/>
        <v>Aprobado</v>
      </c>
      <c r="T107" s="5">
        <f t="shared" si="6"/>
        <v>100</v>
      </c>
      <c r="U107" s="5" t="str">
        <f t="shared" si="7"/>
        <v>Supera los requisitos</v>
      </c>
      <c r="V107" s="5" t="s">
        <v>486</v>
      </c>
      <c r="W107" s="5" t="s">
        <v>214</v>
      </c>
      <c r="X107" s="5"/>
      <c r="Y107" s="5" t="s">
        <v>355</v>
      </c>
      <c r="Z107" s="5"/>
    </row>
    <row r="108" spans="1:26" ht="90" x14ac:dyDescent="0.25">
      <c r="A108" s="5" t="s">
        <v>73</v>
      </c>
      <c r="B108" s="5" t="s">
        <v>70</v>
      </c>
      <c r="C108" s="5" t="s">
        <v>72</v>
      </c>
      <c r="D108" s="5" t="s">
        <v>239</v>
      </c>
      <c r="E108" s="5" t="s">
        <v>240</v>
      </c>
      <c r="F108" s="5" t="s">
        <v>378</v>
      </c>
      <c r="G108" s="5" t="s">
        <v>379</v>
      </c>
      <c r="H108" s="5" t="s">
        <v>380</v>
      </c>
      <c r="I108" s="5" t="s">
        <v>344</v>
      </c>
      <c r="J108" s="5" t="s">
        <v>345</v>
      </c>
      <c r="K108" s="5" t="s">
        <v>346</v>
      </c>
      <c r="L108" s="5">
        <v>9</v>
      </c>
      <c r="M108" s="5">
        <v>9</v>
      </c>
      <c r="N108" s="5" t="s">
        <v>347</v>
      </c>
      <c r="O108" s="5">
        <f t="shared" si="4"/>
        <v>100</v>
      </c>
      <c r="P108" s="5" t="s">
        <v>152</v>
      </c>
      <c r="Q108" s="5" t="s">
        <v>153</v>
      </c>
      <c r="R108" s="5">
        <v>100</v>
      </c>
      <c r="S108" s="5" t="str">
        <f t="shared" si="5"/>
        <v>Aprobado</v>
      </c>
      <c r="T108" s="5">
        <f t="shared" si="6"/>
        <v>100</v>
      </c>
      <c r="U108" s="5" t="str">
        <f t="shared" si="7"/>
        <v>Supera los requisitos</v>
      </c>
      <c r="V108" s="5" t="s">
        <v>487</v>
      </c>
      <c r="W108" s="5" t="s">
        <v>214</v>
      </c>
      <c r="X108" s="5"/>
      <c r="Y108" s="5" t="s">
        <v>355</v>
      </c>
      <c r="Z108" s="5"/>
    </row>
    <row r="109" spans="1:26" ht="90" x14ac:dyDescent="0.25">
      <c r="A109" s="5" t="s">
        <v>73</v>
      </c>
      <c r="B109" s="5" t="s">
        <v>70</v>
      </c>
      <c r="C109" s="5" t="s">
        <v>72</v>
      </c>
      <c r="D109" s="5" t="s">
        <v>239</v>
      </c>
      <c r="E109" s="5" t="s">
        <v>240</v>
      </c>
      <c r="F109" s="5" t="s">
        <v>384</v>
      </c>
      <c r="G109" s="5" t="s">
        <v>385</v>
      </c>
      <c r="H109" s="5" t="s">
        <v>386</v>
      </c>
      <c r="I109" s="5" t="s">
        <v>344</v>
      </c>
      <c r="J109" s="5" t="s">
        <v>345</v>
      </c>
      <c r="K109" s="5" t="s">
        <v>346</v>
      </c>
      <c r="L109" s="5">
        <v>9</v>
      </c>
      <c r="M109" s="5">
        <v>9</v>
      </c>
      <c r="N109" s="5" t="s">
        <v>347</v>
      </c>
      <c r="O109" s="5">
        <f t="shared" si="4"/>
        <v>100</v>
      </c>
      <c r="P109" s="5" t="s">
        <v>152</v>
      </c>
      <c r="Q109" s="5" t="s">
        <v>153</v>
      </c>
      <c r="R109" s="5">
        <v>100</v>
      </c>
      <c r="S109" s="5" t="str">
        <f t="shared" si="5"/>
        <v>Aprobado</v>
      </c>
      <c r="T109" s="5">
        <f t="shared" si="6"/>
        <v>100</v>
      </c>
      <c r="U109" s="5" t="str">
        <f t="shared" si="7"/>
        <v>Supera los requisitos</v>
      </c>
      <c r="V109" s="5" t="s">
        <v>488</v>
      </c>
      <c r="W109" s="5" t="s">
        <v>214</v>
      </c>
      <c r="X109" s="5"/>
      <c r="Y109" s="5" t="s">
        <v>355</v>
      </c>
      <c r="Z109" s="5"/>
    </row>
    <row r="110" spans="1:26" ht="90" x14ac:dyDescent="0.25">
      <c r="A110" s="5" t="s">
        <v>75</v>
      </c>
      <c r="B110" s="5" t="s">
        <v>70</v>
      </c>
      <c r="C110" s="5" t="s">
        <v>74</v>
      </c>
      <c r="D110" s="5" t="s">
        <v>247</v>
      </c>
      <c r="E110" s="5" t="s">
        <v>248</v>
      </c>
      <c r="F110" s="5" t="s">
        <v>341</v>
      </c>
      <c r="G110" s="5" t="s">
        <v>342</v>
      </c>
      <c r="H110" s="5" t="s">
        <v>343</v>
      </c>
      <c r="I110" s="5" t="s">
        <v>344</v>
      </c>
      <c r="J110" s="5" t="s">
        <v>345</v>
      </c>
      <c r="K110" s="5" t="s">
        <v>346</v>
      </c>
      <c r="L110" s="5">
        <v>80</v>
      </c>
      <c r="M110" s="5">
        <v>80</v>
      </c>
      <c r="N110" s="5" t="s">
        <v>347</v>
      </c>
      <c r="O110" s="5">
        <f t="shared" si="4"/>
        <v>100</v>
      </c>
      <c r="P110" s="5" t="s">
        <v>152</v>
      </c>
      <c r="Q110" s="5" t="s">
        <v>153</v>
      </c>
      <c r="R110" s="5">
        <v>99</v>
      </c>
      <c r="S110" s="5" t="str">
        <f t="shared" si="5"/>
        <v>Aprobado</v>
      </c>
      <c r="T110" s="5">
        <f t="shared" si="6"/>
        <v>100</v>
      </c>
      <c r="U110" s="5" t="str">
        <f t="shared" si="7"/>
        <v>Supera los requisitos</v>
      </c>
      <c r="V110" s="5" t="s">
        <v>489</v>
      </c>
      <c r="W110" s="5" t="s">
        <v>214</v>
      </c>
      <c r="X110" s="5"/>
      <c r="Y110" s="5" t="s">
        <v>355</v>
      </c>
      <c r="Z110" s="5"/>
    </row>
    <row r="111" spans="1:26" ht="90" x14ac:dyDescent="0.25">
      <c r="A111" s="5" t="s">
        <v>75</v>
      </c>
      <c r="B111" s="5" t="s">
        <v>70</v>
      </c>
      <c r="C111" s="5" t="s">
        <v>74</v>
      </c>
      <c r="D111" s="5" t="s">
        <v>247</v>
      </c>
      <c r="E111" s="5" t="s">
        <v>248</v>
      </c>
      <c r="F111" s="5" t="s">
        <v>351</v>
      </c>
      <c r="G111" s="5" t="s">
        <v>352</v>
      </c>
      <c r="H111" s="5" t="s">
        <v>353</v>
      </c>
      <c r="I111" s="5" t="s">
        <v>344</v>
      </c>
      <c r="J111" s="5" t="s">
        <v>345</v>
      </c>
      <c r="K111" s="5" t="s">
        <v>346</v>
      </c>
      <c r="L111" s="5">
        <v>80</v>
      </c>
      <c r="M111" s="5">
        <v>80</v>
      </c>
      <c r="N111" s="5" t="s">
        <v>347</v>
      </c>
      <c r="O111" s="5">
        <f t="shared" si="4"/>
        <v>100</v>
      </c>
      <c r="P111" s="5" t="s">
        <v>152</v>
      </c>
      <c r="Q111" s="5" t="s">
        <v>153</v>
      </c>
      <c r="R111" s="5">
        <v>99</v>
      </c>
      <c r="S111" s="5" t="str">
        <f t="shared" si="5"/>
        <v>Aprobado</v>
      </c>
      <c r="T111" s="5">
        <f t="shared" si="6"/>
        <v>100</v>
      </c>
      <c r="U111" s="5" t="str">
        <f t="shared" si="7"/>
        <v>Supera los requisitos</v>
      </c>
      <c r="V111" s="5" t="s">
        <v>490</v>
      </c>
      <c r="W111" s="5" t="s">
        <v>214</v>
      </c>
      <c r="X111" s="5"/>
      <c r="Y111" s="5" t="s">
        <v>355</v>
      </c>
      <c r="Z111" s="5"/>
    </row>
    <row r="112" spans="1:26" ht="90" x14ac:dyDescent="0.25">
      <c r="A112" s="5" t="s">
        <v>75</v>
      </c>
      <c r="B112" s="5" t="s">
        <v>70</v>
      </c>
      <c r="C112" s="5" t="s">
        <v>74</v>
      </c>
      <c r="D112" s="5" t="s">
        <v>247</v>
      </c>
      <c r="E112" s="5" t="s">
        <v>248</v>
      </c>
      <c r="F112" s="5" t="s">
        <v>356</v>
      </c>
      <c r="G112" s="5" t="s">
        <v>357</v>
      </c>
      <c r="H112" s="5" t="s">
        <v>358</v>
      </c>
      <c r="I112" s="5" t="s">
        <v>344</v>
      </c>
      <c r="J112" s="5" t="s">
        <v>345</v>
      </c>
      <c r="K112" s="5" t="s">
        <v>346</v>
      </c>
      <c r="L112" s="5">
        <v>80</v>
      </c>
      <c r="M112" s="5">
        <v>80</v>
      </c>
      <c r="N112" s="5" t="s">
        <v>347</v>
      </c>
      <c r="O112" s="5">
        <f t="shared" si="4"/>
        <v>100</v>
      </c>
      <c r="P112" s="5" t="s">
        <v>152</v>
      </c>
      <c r="Q112" s="5" t="s">
        <v>153</v>
      </c>
      <c r="R112" s="5">
        <v>99</v>
      </c>
      <c r="S112" s="5" t="str">
        <f t="shared" si="5"/>
        <v>Aprobado</v>
      </c>
      <c r="T112" s="5">
        <f t="shared" si="6"/>
        <v>100</v>
      </c>
      <c r="U112" s="5" t="str">
        <f t="shared" si="7"/>
        <v>Supera los requisitos</v>
      </c>
      <c r="V112" s="5" t="s">
        <v>491</v>
      </c>
      <c r="W112" s="5" t="s">
        <v>214</v>
      </c>
      <c r="X112" s="5"/>
      <c r="Y112" s="5" t="s">
        <v>355</v>
      </c>
      <c r="Z112" s="5"/>
    </row>
    <row r="113" spans="1:26" ht="90" x14ac:dyDescent="0.25">
      <c r="A113" s="5" t="s">
        <v>75</v>
      </c>
      <c r="B113" s="5" t="s">
        <v>70</v>
      </c>
      <c r="C113" s="5" t="s">
        <v>74</v>
      </c>
      <c r="D113" s="5" t="s">
        <v>247</v>
      </c>
      <c r="E113" s="5" t="s">
        <v>248</v>
      </c>
      <c r="F113" s="5" t="s">
        <v>360</v>
      </c>
      <c r="G113" s="5" t="s">
        <v>361</v>
      </c>
      <c r="H113" s="5" t="s">
        <v>362</v>
      </c>
      <c r="I113" s="5" t="s">
        <v>344</v>
      </c>
      <c r="J113" s="5" t="s">
        <v>345</v>
      </c>
      <c r="K113" s="5" t="s">
        <v>346</v>
      </c>
      <c r="L113" s="5">
        <v>80</v>
      </c>
      <c r="M113" s="5">
        <v>80</v>
      </c>
      <c r="N113" s="5" t="s">
        <v>347</v>
      </c>
      <c r="O113" s="5">
        <f t="shared" si="4"/>
        <v>100</v>
      </c>
      <c r="P113" s="5" t="s">
        <v>152</v>
      </c>
      <c r="Q113" s="5" t="s">
        <v>153</v>
      </c>
      <c r="R113" s="5">
        <v>99</v>
      </c>
      <c r="S113" s="5" t="str">
        <f t="shared" si="5"/>
        <v>Aprobado</v>
      </c>
      <c r="T113" s="5">
        <f t="shared" si="6"/>
        <v>100</v>
      </c>
      <c r="U113" s="5" t="str">
        <f t="shared" si="7"/>
        <v>Supera los requisitos</v>
      </c>
      <c r="V113" s="5" t="s">
        <v>492</v>
      </c>
      <c r="W113" s="5" t="s">
        <v>214</v>
      </c>
      <c r="X113" s="5"/>
      <c r="Y113" s="5" t="s">
        <v>355</v>
      </c>
      <c r="Z113" s="5"/>
    </row>
    <row r="114" spans="1:26" ht="90" x14ac:dyDescent="0.25">
      <c r="A114" s="5" t="s">
        <v>75</v>
      </c>
      <c r="B114" s="5" t="s">
        <v>70</v>
      </c>
      <c r="C114" s="5" t="s">
        <v>74</v>
      </c>
      <c r="D114" s="5" t="s">
        <v>247</v>
      </c>
      <c r="E114" s="5" t="s">
        <v>248</v>
      </c>
      <c r="F114" s="5" t="s">
        <v>364</v>
      </c>
      <c r="G114" s="5" t="s">
        <v>365</v>
      </c>
      <c r="H114" s="5" t="s">
        <v>366</v>
      </c>
      <c r="I114" s="5" t="s">
        <v>344</v>
      </c>
      <c r="J114" s="5" t="s">
        <v>345</v>
      </c>
      <c r="K114" s="5" t="s">
        <v>346</v>
      </c>
      <c r="L114" s="5">
        <v>80</v>
      </c>
      <c r="M114" s="5">
        <v>80</v>
      </c>
      <c r="N114" s="5" t="s">
        <v>347</v>
      </c>
      <c r="O114" s="5">
        <f t="shared" si="4"/>
        <v>100</v>
      </c>
      <c r="P114" s="5" t="s">
        <v>152</v>
      </c>
      <c r="Q114" s="5" t="s">
        <v>153</v>
      </c>
      <c r="R114" s="5">
        <v>99</v>
      </c>
      <c r="S114" s="5" t="str">
        <f t="shared" si="5"/>
        <v>Aprobado</v>
      </c>
      <c r="T114" s="5">
        <f t="shared" si="6"/>
        <v>100</v>
      </c>
      <c r="U114" s="5" t="str">
        <f t="shared" si="7"/>
        <v>Supera los requisitos</v>
      </c>
      <c r="V114" s="5" t="s">
        <v>493</v>
      </c>
      <c r="W114" s="5" t="s">
        <v>214</v>
      </c>
      <c r="X114" s="5"/>
      <c r="Y114" s="5" t="s">
        <v>355</v>
      </c>
      <c r="Z114" s="5"/>
    </row>
    <row r="115" spans="1:26" ht="90" x14ac:dyDescent="0.25">
      <c r="A115" s="5" t="s">
        <v>75</v>
      </c>
      <c r="B115" s="5" t="s">
        <v>70</v>
      </c>
      <c r="C115" s="5" t="s">
        <v>74</v>
      </c>
      <c r="D115" s="5" t="s">
        <v>247</v>
      </c>
      <c r="E115" s="5" t="s">
        <v>248</v>
      </c>
      <c r="F115" s="5" t="s">
        <v>368</v>
      </c>
      <c r="G115" s="5" t="s">
        <v>369</v>
      </c>
      <c r="H115" s="5" t="s">
        <v>370</v>
      </c>
      <c r="I115" s="5" t="s">
        <v>344</v>
      </c>
      <c r="J115" s="5" t="s">
        <v>345</v>
      </c>
      <c r="K115" s="5" t="s">
        <v>346</v>
      </c>
      <c r="L115" s="5">
        <v>80</v>
      </c>
      <c r="M115" s="5">
        <v>80</v>
      </c>
      <c r="N115" s="5" t="s">
        <v>347</v>
      </c>
      <c r="O115" s="5">
        <f t="shared" si="4"/>
        <v>100</v>
      </c>
      <c r="P115" s="5" t="s">
        <v>152</v>
      </c>
      <c r="Q115" s="5" t="s">
        <v>153</v>
      </c>
      <c r="R115" s="5">
        <v>99</v>
      </c>
      <c r="S115" s="5" t="str">
        <f t="shared" si="5"/>
        <v>Aprobado</v>
      </c>
      <c r="T115" s="5">
        <f t="shared" si="6"/>
        <v>100</v>
      </c>
      <c r="U115" s="5" t="str">
        <f t="shared" si="7"/>
        <v>Supera los requisitos</v>
      </c>
      <c r="V115" s="5" t="s">
        <v>494</v>
      </c>
      <c r="W115" s="5" t="s">
        <v>214</v>
      </c>
      <c r="X115" s="5"/>
      <c r="Y115" s="5" t="s">
        <v>355</v>
      </c>
      <c r="Z115" s="5"/>
    </row>
    <row r="116" spans="1:26" ht="90" x14ac:dyDescent="0.25">
      <c r="A116" s="5" t="s">
        <v>75</v>
      </c>
      <c r="B116" s="5" t="s">
        <v>70</v>
      </c>
      <c r="C116" s="5" t="s">
        <v>74</v>
      </c>
      <c r="D116" s="5" t="s">
        <v>247</v>
      </c>
      <c r="E116" s="5" t="s">
        <v>248</v>
      </c>
      <c r="F116" s="5" t="s">
        <v>372</v>
      </c>
      <c r="G116" s="5" t="s">
        <v>373</v>
      </c>
      <c r="H116" s="5" t="s">
        <v>374</v>
      </c>
      <c r="I116" s="5" t="s">
        <v>344</v>
      </c>
      <c r="J116" s="5" t="s">
        <v>345</v>
      </c>
      <c r="K116" s="5" t="s">
        <v>346</v>
      </c>
      <c r="L116" s="5">
        <v>80</v>
      </c>
      <c r="M116" s="5">
        <v>80</v>
      </c>
      <c r="N116" s="5" t="s">
        <v>347</v>
      </c>
      <c r="O116" s="5">
        <f t="shared" si="4"/>
        <v>100</v>
      </c>
      <c r="P116" s="5" t="s">
        <v>152</v>
      </c>
      <c r="Q116" s="5" t="s">
        <v>153</v>
      </c>
      <c r="R116" s="5">
        <v>99</v>
      </c>
      <c r="S116" s="5" t="str">
        <f t="shared" si="5"/>
        <v>Aprobado</v>
      </c>
      <c r="T116" s="5">
        <f t="shared" si="6"/>
        <v>100</v>
      </c>
      <c r="U116" s="5" t="str">
        <f t="shared" si="7"/>
        <v>Supera los requisitos</v>
      </c>
      <c r="V116" s="5" t="s">
        <v>495</v>
      </c>
      <c r="W116" s="5" t="s">
        <v>214</v>
      </c>
      <c r="X116" s="5"/>
      <c r="Y116" s="5" t="s">
        <v>355</v>
      </c>
      <c r="Z116" s="5"/>
    </row>
    <row r="117" spans="1:26" ht="90" x14ac:dyDescent="0.25">
      <c r="A117" s="5" t="s">
        <v>75</v>
      </c>
      <c r="B117" s="5" t="s">
        <v>70</v>
      </c>
      <c r="C117" s="5" t="s">
        <v>74</v>
      </c>
      <c r="D117" s="5" t="s">
        <v>247</v>
      </c>
      <c r="E117" s="5" t="s">
        <v>248</v>
      </c>
      <c r="F117" s="5" t="s">
        <v>378</v>
      </c>
      <c r="G117" s="5" t="s">
        <v>379</v>
      </c>
      <c r="H117" s="5" t="s">
        <v>380</v>
      </c>
      <c r="I117" s="5" t="s">
        <v>344</v>
      </c>
      <c r="J117" s="5" t="s">
        <v>345</v>
      </c>
      <c r="K117" s="5" t="s">
        <v>346</v>
      </c>
      <c r="L117" s="5">
        <v>80</v>
      </c>
      <c r="M117" s="5">
        <v>80</v>
      </c>
      <c r="N117" s="5" t="s">
        <v>347</v>
      </c>
      <c r="O117" s="5">
        <f t="shared" si="4"/>
        <v>100</v>
      </c>
      <c r="P117" s="5" t="s">
        <v>152</v>
      </c>
      <c r="Q117" s="5" t="s">
        <v>153</v>
      </c>
      <c r="R117" s="5">
        <v>99</v>
      </c>
      <c r="S117" s="5" t="str">
        <f t="shared" si="5"/>
        <v>Aprobado</v>
      </c>
      <c r="T117" s="5">
        <f t="shared" si="6"/>
        <v>100</v>
      </c>
      <c r="U117" s="5" t="str">
        <f t="shared" si="7"/>
        <v>Supera los requisitos</v>
      </c>
      <c r="V117" s="5" t="s">
        <v>496</v>
      </c>
      <c r="W117" s="5" t="s">
        <v>214</v>
      </c>
      <c r="X117" s="5"/>
      <c r="Y117" s="5" t="s">
        <v>355</v>
      </c>
      <c r="Z117" s="5"/>
    </row>
    <row r="118" spans="1:26" ht="90" x14ac:dyDescent="0.25">
      <c r="A118" s="5" t="s">
        <v>75</v>
      </c>
      <c r="B118" s="5" t="s">
        <v>70</v>
      </c>
      <c r="C118" s="5" t="s">
        <v>74</v>
      </c>
      <c r="D118" s="5" t="s">
        <v>247</v>
      </c>
      <c r="E118" s="5" t="s">
        <v>248</v>
      </c>
      <c r="F118" s="5" t="s">
        <v>384</v>
      </c>
      <c r="G118" s="5" t="s">
        <v>385</v>
      </c>
      <c r="H118" s="5" t="s">
        <v>386</v>
      </c>
      <c r="I118" s="5" t="s">
        <v>344</v>
      </c>
      <c r="J118" s="5" t="s">
        <v>345</v>
      </c>
      <c r="K118" s="5" t="s">
        <v>346</v>
      </c>
      <c r="L118" s="5">
        <v>80</v>
      </c>
      <c r="M118" s="5">
        <v>80</v>
      </c>
      <c r="N118" s="5" t="s">
        <v>347</v>
      </c>
      <c r="O118" s="5">
        <f t="shared" si="4"/>
        <v>100</v>
      </c>
      <c r="P118" s="5" t="s">
        <v>152</v>
      </c>
      <c r="Q118" s="5" t="s">
        <v>153</v>
      </c>
      <c r="R118" s="5">
        <v>99</v>
      </c>
      <c r="S118" s="5" t="str">
        <f t="shared" si="5"/>
        <v>Aprobado</v>
      </c>
      <c r="T118" s="5">
        <f t="shared" si="6"/>
        <v>100</v>
      </c>
      <c r="U118" s="5" t="str">
        <f t="shared" si="7"/>
        <v>Supera los requisitos</v>
      </c>
      <c r="V118" s="5" t="s">
        <v>497</v>
      </c>
      <c r="W118" s="5" t="s">
        <v>214</v>
      </c>
      <c r="X118" s="5"/>
      <c r="Y118" s="5" t="s">
        <v>355</v>
      </c>
      <c r="Z118" s="5"/>
    </row>
    <row r="119" spans="1:26" ht="90" x14ac:dyDescent="0.25">
      <c r="A119" s="5" t="s">
        <v>77</v>
      </c>
      <c r="B119" s="5" t="s">
        <v>70</v>
      </c>
      <c r="C119" s="5" t="s">
        <v>76</v>
      </c>
      <c r="D119" s="5" t="s">
        <v>239</v>
      </c>
      <c r="E119" s="5" t="s">
        <v>255</v>
      </c>
      <c r="F119" s="5" t="s">
        <v>341</v>
      </c>
      <c r="G119" s="5" t="s">
        <v>342</v>
      </c>
      <c r="H119" s="5" t="s">
        <v>343</v>
      </c>
      <c r="I119" s="5" t="s">
        <v>344</v>
      </c>
      <c r="J119" s="5" t="s">
        <v>345</v>
      </c>
      <c r="K119" s="5" t="s">
        <v>346</v>
      </c>
      <c r="L119" s="5">
        <v>4</v>
      </c>
      <c r="M119" s="5">
        <v>4</v>
      </c>
      <c r="N119" s="5" t="s">
        <v>347</v>
      </c>
      <c r="O119" s="5">
        <f t="shared" si="4"/>
        <v>100</v>
      </c>
      <c r="P119" s="5" t="s">
        <v>152</v>
      </c>
      <c r="Q119" s="5" t="s">
        <v>153</v>
      </c>
      <c r="R119" s="5">
        <v>100</v>
      </c>
      <c r="S119" s="5" t="str">
        <f t="shared" si="5"/>
        <v>Aprobado</v>
      </c>
      <c r="T119" s="5">
        <f t="shared" si="6"/>
        <v>100</v>
      </c>
      <c r="U119" s="5" t="str">
        <f t="shared" si="7"/>
        <v>Supera los requisitos</v>
      </c>
      <c r="V119" s="5" t="s">
        <v>498</v>
      </c>
      <c r="W119" s="5" t="s">
        <v>214</v>
      </c>
      <c r="X119" s="5"/>
      <c r="Y119" s="5" t="s">
        <v>355</v>
      </c>
      <c r="Z119" s="5"/>
    </row>
    <row r="120" spans="1:26" ht="90" x14ac:dyDescent="0.25">
      <c r="A120" s="5" t="s">
        <v>77</v>
      </c>
      <c r="B120" s="5" t="s">
        <v>70</v>
      </c>
      <c r="C120" s="5" t="s">
        <v>76</v>
      </c>
      <c r="D120" s="5" t="s">
        <v>239</v>
      </c>
      <c r="E120" s="5" t="s">
        <v>255</v>
      </c>
      <c r="F120" s="5" t="s">
        <v>351</v>
      </c>
      <c r="G120" s="5" t="s">
        <v>352</v>
      </c>
      <c r="H120" s="5" t="s">
        <v>353</v>
      </c>
      <c r="I120" s="5" t="s">
        <v>344</v>
      </c>
      <c r="J120" s="5" t="s">
        <v>345</v>
      </c>
      <c r="K120" s="5" t="s">
        <v>346</v>
      </c>
      <c r="L120" s="5">
        <v>4</v>
      </c>
      <c r="M120" s="5">
        <v>4</v>
      </c>
      <c r="N120" s="5" t="s">
        <v>347</v>
      </c>
      <c r="O120" s="5">
        <f t="shared" si="4"/>
        <v>100</v>
      </c>
      <c r="P120" s="5" t="s">
        <v>152</v>
      </c>
      <c r="Q120" s="5" t="s">
        <v>153</v>
      </c>
      <c r="R120" s="5">
        <v>100</v>
      </c>
      <c r="S120" s="5" t="str">
        <f t="shared" si="5"/>
        <v>Aprobado</v>
      </c>
      <c r="T120" s="5">
        <f t="shared" si="6"/>
        <v>100</v>
      </c>
      <c r="U120" s="5" t="str">
        <f t="shared" si="7"/>
        <v>Supera los requisitos</v>
      </c>
      <c r="V120" s="5" t="s">
        <v>499</v>
      </c>
      <c r="W120" s="5" t="s">
        <v>214</v>
      </c>
      <c r="X120" s="5"/>
      <c r="Y120" s="5" t="s">
        <v>355</v>
      </c>
      <c r="Z120" s="5"/>
    </row>
    <row r="121" spans="1:26" ht="90" x14ac:dyDescent="0.25">
      <c r="A121" s="5" t="s">
        <v>77</v>
      </c>
      <c r="B121" s="5" t="s">
        <v>70</v>
      </c>
      <c r="C121" s="5" t="s">
        <v>76</v>
      </c>
      <c r="D121" s="5" t="s">
        <v>239</v>
      </c>
      <c r="E121" s="5" t="s">
        <v>255</v>
      </c>
      <c r="F121" s="5" t="s">
        <v>356</v>
      </c>
      <c r="G121" s="5" t="s">
        <v>357</v>
      </c>
      <c r="H121" s="5" t="s">
        <v>358</v>
      </c>
      <c r="I121" s="5" t="s">
        <v>344</v>
      </c>
      <c r="J121" s="5" t="s">
        <v>345</v>
      </c>
      <c r="K121" s="5" t="s">
        <v>346</v>
      </c>
      <c r="L121" s="5">
        <v>4</v>
      </c>
      <c r="M121" s="5">
        <v>4</v>
      </c>
      <c r="N121" s="5" t="s">
        <v>347</v>
      </c>
      <c r="O121" s="5">
        <f t="shared" si="4"/>
        <v>100</v>
      </c>
      <c r="P121" s="5" t="s">
        <v>152</v>
      </c>
      <c r="Q121" s="5" t="s">
        <v>153</v>
      </c>
      <c r="R121" s="5">
        <v>100</v>
      </c>
      <c r="S121" s="5" t="str">
        <f t="shared" si="5"/>
        <v>Aprobado</v>
      </c>
      <c r="T121" s="5">
        <f t="shared" si="6"/>
        <v>100</v>
      </c>
      <c r="U121" s="5" t="str">
        <f t="shared" si="7"/>
        <v>Supera los requisitos</v>
      </c>
      <c r="V121" s="5" t="s">
        <v>500</v>
      </c>
      <c r="W121" s="5" t="s">
        <v>214</v>
      </c>
      <c r="X121" s="5"/>
      <c r="Y121" s="5" t="s">
        <v>355</v>
      </c>
      <c r="Z121" s="5"/>
    </row>
    <row r="122" spans="1:26" ht="90" x14ac:dyDescent="0.25">
      <c r="A122" s="5" t="s">
        <v>77</v>
      </c>
      <c r="B122" s="5" t="s">
        <v>70</v>
      </c>
      <c r="C122" s="5" t="s">
        <v>76</v>
      </c>
      <c r="D122" s="5" t="s">
        <v>239</v>
      </c>
      <c r="E122" s="5" t="s">
        <v>255</v>
      </c>
      <c r="F122" s="5" t="s">
        <v>360</v>
      </c>
      <c r="G122" s="5" t="s">
        <v>361</v>
      </c>
      <c r="H122" s="5" t="s">
        <v>362</v>
      </c>
      <c r="I122" s="5" t="s">
        <v>344</v>
      </c>
      <c r="J122" s="5" t="s">
        <v>345</v>
      </c>
      <c r="K122" s="5" t="s">
        <v>346</v>
      </c>
      <c r="L122" s="5">
        <v>4</v>
      </c>
      <c r="M122" s="5">
        <v>4</v>
      </c>
      <c r="N122" s="5" t="s">
        <v>347</v>
      </c>
      <c r="O122" s="5">
        <f t="shared" si="4"/>
        <v>100</v>
      </c>
      <c r="P122" s="5" t="s">
        <v>152</v>
      </c>
      <c r="Q122" s="5" t="s">
        <v>153</v>
      </c>
      <c r="R122" s="5">
        <v>100</v>
      </c>
      <c r="S122" s="5" t="str">
        <f t="shared" si="5"/>
        <v>Aprobado</v>
      </c>
      <c r="T122" s="5">
        <f t="shared" si="6"/>
        <v>100</v>
      </c>
      <c r="U122" s="5" t="str">
        <f t="shared" si="7"/>
        <v>Supera los requisitos</v>
      </c>
      <c r="V122" s="5" t="s">
        <v>501</v>
      </c>
      <c r="W122" s="5" t="s">
        <v>214</v>
      </c>
      <c r="X122" s="5"/>
      <c r="Y122" s="5" t="s">
        <v>355</v>
      </c>
      <c r="Z122" s="5"/>
    </row>
    <row r="123" spans="1:26" ht="90" x14ac:dyDescent="0.25">
      <c r="A123" s="5" t="s">
        <v>77</v>
      </c>
      <c r="B123" s="5" t="s">
        <v>70</v>
      </c>
      <c r="C123" s="5" t="s">
        <v>76</v>
      </c>
      <c r="D123" s="5" t="s">
        <v>239</v>
      </c>
      <c r="E123" s="5" t="s">
        <v>255</v>
      </c>
      <c r="F123" s="5" t="s">
        <v>364</v>
      </c>
      <c r="G123" s="5" t="s">
        <v>365</v>
      </c>
      <c r="H123" s="5" t="s">
        <v>366</v>
      </c>
      <c r="I123" s="5" t="s">
        <v>344</v>
      </c>
      <c r="J123" s="5" t="s">
        <v>345</v>
      </c>
      <c r="K123" s="5" t="s">
        <v>346</v>
      </c>
      <c r="L123" s="5">
        <v>4</v>
      </c>
      <c r="M123" s="5">
        <v>4</v>
      </c>
      <c r="N123" s="5" t="s">
        <v>347</v>
      </c>
      <c r="O123" s="5">
        <f t="shared" si="4"/>
        <v>100</v>
      </c>
      <c r="P123" s="5" t="s">
        <v>152</v>
      </c>
      <c r="Q123" s="5" t="s">
        <v>153</v>
      </c>
      <c r="R123" s="5">
        <v>100</v>
      </c>
      <c r="S123" s="5" t="str">
        <f t="shared" si="5"/>
        <v>Aprobado</v>
      </c>
      <c r="T123" s="5">
        <f t="shared" si="6"/>
        <v>100</v>
      </c>
      <c r="U123" s="5" t="str">
        <f t="shared" si="7"/>
        <v>Supera los requisitos</v>
      </c>
      <c r="V123" s="5" t="s">
        <v>502</v>
      </c>
      <c r="W123" s="5" t="s">
        <v>214</v>
      </c>
      <c r="X123" s="5"/>
      <c r="Y123" s="5" t="s">
        <v>355</v>
      </c>
      <c r="Z123" s="5"/>
    </row>
    <row r="124" spans="1:26" ht="90" x14ac:dyDescent="0.25">
      <c r="A124" s="5" t="s">
        <v>77</v>
      </c>
      <c r="B124" s="5" t="s">
        <v>70</v>
      </c>
      <c r="C124" s="5" t="s">
        <v>76</v>
      </c>
      <c r="D124" s="5" t="s">
        <v>239</v>
      </c>
      <c r="E124" s="5" t="s">
        <v>255</v>
      </c>
      <c r="F124" s="5" t="s">
        <v>368</v>
      </c>
      <c r="G124" s="5" t="s">
        <v>369</v>
      </c>
      <c r="H124" s="5" t="s">
        <v>370</v>
      </c>
      <c r="I124" s="5" t="s">
        <v>344</v>
      </c>
      <c r="J124" s="5" t="s">
        <v>345</v>
      </c>
      <c r="K124" s="5" t="s">
        <v>346</v>
      </c>
      <c r="L124" s="5">
        <v>4</v>
      </c>
      <c r="M124" s="5">
        <v>4</v>
      </c>
      <c r="N124" s="5" t="s">
        <v>347</v>
      </c>
      <c r="O124" s="5">
        <f t="shared" si="4"/>
        <v>100</v>
      </c>
      <c r="P124" s="5" t="s">
        <v>152</v>
      </c>
      <c r="Q124" s="5" t="s">
        <v>153</v>
      </c>
      <c r="R124" s="5">
        <v>100</v>
      </c>
      <c r="S124" s="5" t="str">
        <f t="shared" si="5"/>
        <v>Aprobado</v>
      </c>
      <c r="T124" s="5">
        <f t="shared" si="6"/>
        <v>100</v>
      </c>
      <c r="U124" s="5" t="str">
        <f t="shared" si="7"/>
        <v>Supera los requisitos</v>
      </c>
      <c r="V124" s="5" t="s">
        <v>503</v>
      </c>
      <c r="W124" s="5" t="s">
        <v>214</v>
      </c>
      <c r="X124" s="5"/>
      <c r="Y124" s="5" t="s">
        <v>355</v>
      </c>
      <c r="Z124" s="5"/>
    </row>
    <row r="125" spans="1:26" ht="90" x14ac:dyDescent="0.25">
      <c r="A125" s="5" t="s">
        <v>77</v>
      </c>
      <c r="B125" s="5" t="s">
        <v>70</v>
      </c>
      <c r="C125" s="5" t="s">
        <v>76</v>
      </c>
      <c r="D125" s="5" t="s">
        <v>239</v>
      </c>
      <c r="E125" s="5" t="s">
        <v>255</v>
      </c>
      <c r="F125" s="5" t="s">
        <v>372</v>
      </c>
      <c r="G125" s="5" t="s">
        <v>373</v>
      </c>
      <c r="H125" s="5" t="s">
        <v>374</v>
      </c>
      <c r="I125" s="5" t="s">
        <v>344</v>
      </c>
      <c r="J125" s="5" t="s">
        <v>345</v>
      </c>
      <c r="K125" s="5" t="s">
        <v>346</v>
      </c>
      <c r="L125" s="5">
        <v>4</v>
      </c>
      <c r="M125" s="5">
        <v>4</v>
      </c>
      <c r="N125" s="5" t="s">
        <v>347</v>
      </c>
      <c r="O125" s="5">
        <f t="shared" si="4"/>
        <v>100</v>
      </c>
      <c r="P125" s="5" t="s">
        <v>152</v>
      </c>
      <c r="Q125" s="5" t="s">
        <v>153</v>
      </c>
      <c r="R125" s="5">
        <v>100</v>
      </c>
      <c r="S125" s="5" t="str">
        <f t="shared" si="5"/>
        <v>Aprobado</v>
      </c>
      <c r="T125" s="5">
        <f t="shared" si="6"/>
        <v>100</v>
      </c>
      <c r="U125" s="5" t="str">
        <f t="shared" si="7"/>
        <v>Supera los requisitos</v>
      </c>
      <c r="V125" s="5" t="s">
        <v>504</v>
      </c>
      <c r="W125" s="5" t="s">
        <v>214</v>
      </c>
      <c r="X125" s="5"/>
      <c r="Y125" s="5" t="s">
        <v>355</v>
      </c>
      <c r="Z125" s="5"/>
    </row>
    <row r="126" spans="1:26" ht="90" x14ac:dyDescent="0.25">
      <c r="A126" s="5" t="s">
        <v>77</v>
      </c>
      <c r="B126" s="5" t="s">
        <v>70</v>
      </c>
      <c r="C126" s="5" t="s">
        <v>76</v>
      </c>
      <c r="D126" s="5" t="s">
        <v>239</v>
      </c>
      <c r="E126" s="5" t="s">
        <v>255</v>
      </c>
      <c r="F126" s="5" t="s">
        <v>378</v>
      </c>
      <c r="G126" s="5" t="s">
        <v>379</v>
      </c>
      <c r="H126" s="5" t="s">
        <v>380</v>
      </c>
      <c r="I126" s="5" t="s">
        <v>344</v>
      </c>
      <c r="J126" s="5" t="s">
        <v>345</v>
      </c>
      <c r="K126" s="5" t="s">
        <v>346</v>
      </c>
      <c r="L126" s="5">
        <v>4</v>
      </c>
      <c r="M126" s="5">
        <v>4</v>
      </c>
      <c r="N126" s="5" t="s">
        <v>347</v>
      </c>
      <c r="O126" s="5">
        <f t="shared" si="4"/>
        <v>100</v>
      </c>
      <c r="P126" s="5" t="s">
        <v>152</v>
      </c>
      <c r="Q126" s="5" t="s">
        <v>153</v>
      </c>
      <c r="R126" s="5">
        <v>100</v>
      </c>
      <c r="S126" s="5" t="str">
        <f t="shared" si="5"/>
        <v>Aprobado</v>
      </c>
      <c r="T126" s="5">
        <f t="shared" si="6"/>
        <v>100</v>
      </c>
      <c r="U126" s="5" t="str">
        <f t="shared" si="7"/>
        <v>Supera los requisitos</v>
      </c>
      <c r="V126" s="5" t="s">
        <v>505</v>
      </c>
      <c r="W126" s="5" t="s">
        <v>214</v>
      </c>
      <c r="X126" s="5"/>
      <c r="Y126" s="5" t="s">
        <v>355</v>
      </c>
      <c r="Z126" s="5"/>
    </row>
    <row r="127" spans="1:26" ht="90" x14ac:dyDescent="0.25">
      <c r="A127" s="5" t="s">
        <v>77</v>
      </c>
      <c r="B127" s="5" t="s">
        <v>70</v>
      </c>
      <c r="C127" s="5" t="s">
        <v>76</v>
      </c>
      <c r="D127" s="5" t="s">
        <v>239</v>
      </c>
      <c r="E127" s="5" t="s">
        <v>255</v>
      </c>
      <c r="F127" s="5" t="s">
        <v>384</v>
      </c>
      <c r="G127" s="5" t="s">
        <v>385</v>
      </c>
      <c r="H127" s="5" t="s">
        <v>386</v>
      </c>
      <c r="I127" s="5" t="s">
        <v>344</v>
      </c>
      <c r="J127" s="5" t="s">
        <v>345</v>
      </c>
      <c r="K127" s="5" t="s">
        <v>346</v>
      </c>
      <c r="L127" s="5">
        <v>4</v>
      </c>
      <c r="M127" s="5">
        <v>4</v>
      </c>
      <c r="N127" s="5" t="s">
        <v>347</v>
      </c>
      <c r="O127" s="5">
        <f t="shared" si="4"/>
        <v>100</v>
      </c>
      <c r="P127" s="5" t="s">
        <v>152</v>
      </c>
      <c r="Q127" s="5" t="s">
        <v>153</v>
      </c>
      <c r="R127" s="5">
        <v>100</v>
      </c>
      <c r="S127" s="5" t="str">
        <f t="shared" si="5"/>
        <v>Aprobado</v>
      </c>
      <c r="T127" s="5">
        <f t="shared" si="6"/>
        <v>100</v>
      </c>
      <c r="U127" s="5" t="str">
        <f t="shared" si="7"/>
        <v>Supera los requisitos</v>
      </c>
      <c r="V127" s="5" t="s">
        <v>506</v>
      </c>
      <c r="W127" s="5" t="s">
        <v>214</v>
      </c>
      <c r="X127" s="5"/>
      <c r="Y127" s="5" t="s">
        <v>355</v>
      </c>
      <c r="Z127" s="5"/>
    </row>
    <row r="128" spans="1:26" ht="90" x14ac:dyDescent="0.25">
      <c r="A128" s="5" t="s">
        <v>79</v>
      </c>
      <c r="B128" s="5" t="s">
        <v>70</v>
      </c>
      <c r="C128" s="5" t="s">
        <v>78</v>
      </c>
      <c r="D128" s="5" t="s">
        <v>239</v>
      </c>
      <c r="E128" s="5" t="s">
        <v>255</v>
      </c>
      <c r="F128" s="5" t="s">
        <v>341</v>
      </c>
      <c r="G128" s="5" t="s">
        <v>342</v>
      </c>
      <c r="H128" s="5" t="s">
        <v>343</v>
      </c>
      <c r="I128" s="5" t="s">
        <v>344</v>
      </c>
      <c r="J128" s="5" t="s">
        <v>345</v>
      </c>
      <c r="K128" s="5" t="s">
        <v>346</v>
      </c>
      <c r="L128" s="5">
        <v>4</v>
      </c>
      <c r="M128" s="5">
        <v>4</v>
      </c>
      <c r="N128" s="5" t="s">
        <v>347</v>
      </c>
      <c r="O128" s="5">
        <f t="shared" si="4"/>
        <v>100</v>
      </c>
      <c r="P128" s="5" t="s">
        <v>152</v>
      </c>
      <c r="Q128" s="5" t="s">
        <v>153</v>
      </c>
      <c r="R128" s="5">
        <v>100</v>
      </c>
      <c r="S128" s="5" t="str">
        <f t="shared" si="5"/>
        <v>Aprobado</v>
      </c>
      <c r="T128" s="5">
        <f t="shared" si="6"/>
        <v>100</v>
      </c>
      <c r="U128" s="5" t="str">
        <f t="shared" si="7"/>
        <v>Supera los requisitos</v>
      </c>
      <c r="V128" s="5" t="s">
        <v>507</v>
      </c>
      <c r="W128" s="5" t="s">
        <v>214</v>
      </c>
      <c r="X128" s="5"/>
      <c r="Y128" s="5" t="s">
        <v>355</v>
      </c>
      <c r="Z128" s="5"/>
    </row>
    <row r="129" spans="1:26" ht="90" x14ac:dyDescent="0.25">
      <c r="A129" s="5" t="s">
        <v>79</v>
      </c>
      <c r="B129" s="5" t="s">
        <v>70</v>
      </c>
      <c r="C129" s="5" t="s">
        <v>78</v>
      </c>
      <c r="D129" s="5" t="s">
        <v>239</v>
      </c>
      <c r="E129" s="5" t="s">
        <v>255</v>
      </c>
      <c r="F129" s="5" t="s">
        <v>351</v>
      </c>
      <c r="G129" s="5" t="s">
        <v>352</v>
      </c>
      <c r="H129" s="5" t="s">
        <v>353</v>
      </c>
      <c r="I129" s="5" t="s">
        <v>344</v>
      </c>
      <c r="J129" s="5" t="s">
        <v>345</v>
      </c>
      <c r="K129" s="5" t="s">
        <v>346</v>
      </c>
      <c r="L129" s="5">
        <v>4</v>
      </c>
      <c r="M129" s="5">
        <v>4</v>
      </c>
      <c r="N129" s="5" t="s">
        <v>347</v>
      </c>
      <c r="O129" s="5">
        <f t="shared" si="4"/>
        <v>100</v>
      </c>
      <c r="P129" s="5" t="s">
        <v>152</v>
      </c>
      <c r="Q129" s="5" t="s">
        <v>153</v>
      </c>
      <c r="R129" s="5">
        <v>100</v>
      </c>
      <c r="S129" s="5" t="str">
        <f t="shared" si="5"/>
        <v>Aprobado</v>
      </c>
      <c r="T129" s="5">
        <f t="shared" si="6"/>
        <v>100</v>
      </c>
      <c r="U129" s="5" t="str">
        <f t="shared" si="7"/>
        <v>Supera los requisitos</v>
      </c>
      <c r="V129" s="5" t="s">
        <v>508</v>
      </c>
      <c r="W129" s="5" t="s">
        <v>214</v>
      </c>
      <c r="X129" s="5"/>
      <c r="Y129" s="5" t="s">
        <v>355</v>
      </c>
      <c r="Z129" s="5"/>
    </row>
    <row r="130" spans="1:26" ht="90" x14ac:dyDescent="0.25">
      <c r="A130" s="5" t="s">
        <v>79</v>
      </c>
      <c r="B130" s="5" t="s">
        <v>70</v>
      </c>
      <c r="C130" s="5" t="s">
        <v>78</v>
      </c>
      <c r="D130" s="5" t="s">
        <v>239</v>
      </c>
      <c r="E130" s="5" t="s">
        <v>255</v>
      </c>
      <c r="F130" s="5" t="s">
        <v>356</v>
      </c>
      <c r="G130" s="5" t="s">
        <v>357</v>
      </c>
      <c r="H130" s="5" t="s">
        <v>358</v>
      </c>
      <c r="I130" s="5" t="s">
        <v>344</v>
      </c>
      <c r="J130" s="5" t="s">
        <v>345</v>
      </c>
      <c r="K130" s="5" t="s">
        <v>346</v>
      </c>
      <c r="L130" s="5">
        <v>4</v>
      </c>
      <c r="M130" s="5">
        <v>4</v>
      </c>
      <c r="N130" s="5" t="s">
        <v>347</v>
      </c>
      <c r="O130" s="5">
        <f t="shared" ref="O130:O193" si="8">IF(L130="","",IF(K130="proporcion",ROUND(L130/M130*100,2),L130))</f>
        <v>100</v>
      </c>
      <c r="P130" s="5" t="s">
        <v>152</v>
      </c>
      <c r="Q130" s="5" t="s">
        <v>153</v>
      </c>
      <c r="R130" s="5">
        <v>100</v>
      </c>
      <c r="S130" s="5" t="str">
        <f t="shared" ref="S130:S193" si="9">IF(O130="","Pendiente",IF(Q130="mayor",IF(O130&gt;=R130,"Aprobado","Rechazado"),IF(O130&lt;=R130,"Aprobado","Rechazado")))</f>
        <v>Aprobado</v>
      </c>
      <c r="T130" s="5">
        <f t="shared" ref="T130:T193" si="10">IF(O130="","",IF(K130="proporcion",O130,MIN(100,ROUND(100*R130/MAX(O130,0.000001),2))))</f>
        <v>100</v>
      </c>
      <c r="U130" s="5" t="str">
        <f t="shared" ref="U130:U193" si="11">IF(T130="","",IF(T130&lt;40,"No aceptable",IF(T130&lt;60,"Mínimamente aceptable",IF(T130&lt;90,"Rango objetivo","Supera los requisitos"))))</f>
        <v>Supera los requisitos</v>
      </c>
      <c r="V130" s="5" t="s">
        <v>509</v>
      </c>
      <c r="W130" s="5" t="s">
        <v>214</v>
      </c>
      <c r="X130" s="5"/>
      <c r="Y130" s="5" t="s">
        <v>355</v>
      </c>
      <c r="Z130" s="5"/>
    </row>
    <row r="131" spans="1:26" ht="90" x14ac:dyDescent="0.25">
      <c r="A131" s="5" t="s">
        <v>79</v>
      </c>
      <c r="B131" s="5" t="s">
        <v>70</v>
      </c>
      <c r="C131" s="5" t="s">
        <v>78</v>
      </c>
      <c r="D131" s="5" t="s">
        <v>239</v>
      </c>
      <c r="E131" s="5" t="s">
        <v>255</v>
      </c>
      <c r="F131" s="5" t="s">
        <v>360</v>
      </c>
      <c r="G131" s="5" t="s">
        <v>361</v>
      </c>
      <c r="H131" s="5" t="s">
        <v>362</v>
      </c>
      <c r="I131" s="5" t="s">
        <v>344</v>
      </c>
      <c r="J131" s="5" t="s">
        <v>345</v>
      </c>
      <c r="K131" s="5" t="s">
        <v>346</v>
      </c>
      <c r="L131" s="5">
        <v>4</v>
      </c>
      <c r="M131" s="5">
        <v>4</v>
      </c>
      <c r="N131" s="5" t="s">
        <v>347</v>
      </c>
      <c r="O131" s="5">
        <f t="shared" si="8"/>
        <v>100</v>
      </c>
      <c r="P131" s="5" t="s">
        <v>152</v>
      </c>
      <c r="Q131" s="5" t="s">
        <v>153</v>
      </c>
      <c r="R131" s="5">
        <v>100</v>
      </c>
      <c r="S131" s="5" t="str">
        <f t="shared" si="9"/>
        <v>Aprobado</v>
      </c>
      <c r="T131" s="5">
        <f t="shared" si="10"/>
        <v>100</v>
      </c>
      <c r="U131" s="5" t="str">
        <f t="shared" si="11"/>
        <v>Supera los requisitos</v>
      </c>
      <c r="V131" s="5" t="s">
        <v>510</v>
      </c>
      <c r="W131" s="5" t="s">
        <v>214</v>
      </c>
      <c r="X131" s="5"/>
      <c r="Y131" s="5" t="s">
        <v>355</v>
      </c>
      <c r="Z131" s="5"/>
    </row>
    <row r="132" spans="1:26" ht="90" x14ac:dyDescent="0.25">
      <c r="A132" s="5" t="s">
        <v>79</v>
      </c>
      <c r="B132" s="5" t="s">
        <v>70</v>
      </c>
      <c r="C132" s="5" t="s">
        <v>78</v>
      </c>
      <c r="D132" s="5" t="s">
        <v>239</v>
      </c>
      <c r="E132" s="5" t="s">
        <v>255</v>
      </c>
      <c r="F132" s="5" t="s">
        <v>364</v>
      </c>
      <c r="G132" s="5" t="s">
        <v>365</v>
      </c>
      <c r="H132" s="5" t="s">
        <v>366</v>
      </c>
      <c r="I132" s="5" t="s">
        <v>344</v>
      </c>
      <c r="J132" s="5" t="s">
        <v>345</v>
      </c>
      <c r="K132" s="5" t="s">
        <v>346</v>
      </c>
      <c r="L132" s="5">
        <v>4</v>
      </c>
      <c r="M132" s="5">
        <v>4</v>
      </c>
      <c r="N132" s="5" t="s">
        <v>347</v>
      </c>
      <c r="O132" s="5">
        <f t="shared" si="8"/>
        <v>100</v>
      </c>
      <c r="P132" s="5" t="s">
        <v>152</v>
      </c>
      <c r="Q132" s="5" t="s">
        <v>153</v>
      </c>
      <c r="R132" s="5">
        <v>100</v>
      </c>
      <c r="S132" s="5" t="str">
        <f t="shared" si="9"/>
        <v>Aprobado</v>
      </c>
      <c r="T132" s="5">
        <f t="shared" si="10"/>
        <v>100</v>
      </c>
      <c r="U132" s="5" t="str">
        <f t="shared" si="11"/>
        <v>Supera los requisitos</v>
      </c>
      <c r="V132" s="5" t="s">
        <v>511</v>
      </c>
      <c r="W132" s="5" t="s">
        <v>214</v>
      </c>
      <c r="X132" s="5"/>
      <c r="Y132" s="5" t="s">
        <v>355</v>
      </c>
      <c r="Z132" s="5"/>
    </row>
    <row r="133" spans="1:26" ht="90" x14ac:dyDescent="0.25">
      <c r="A133" s="5" t="s">
        <v>79</v>
      </c>
      <c r="B133" s="5" t="s">
        <v>70</v>
      </c>
      <c r="C133" s="5" t="s">
        <v>78</v>
      </c>
      <c r="D133" s="5" t="s">
        <v>239</v>
      </c>
      <c r="E133" s="5" t="s">
        <v>255</v>
      </c>
      <c r="F133" s="5" t="s">
        <v>368</v>
      </c>
      <c r="G133" s="5" t="s">
        <v>369</v>
      </c>
      <c r="H133" s="5" t="s">
        <v>370</v>
      </c>
      <c r="I133" s="5" t="s">
        <v>344</v>
      </c>
      <c r="J133" s="5" t="s">
        <v>345</v>
      </c>
      <c r="K133" s="5" t="s">
        <v>346</v>
      </c>
      <c r="L133" s="5">
        <v>4</v>
      </c>
      <c r="M133" s="5">
        <v>4</v>
      </c>
      <c r="N133" s="5" t="s">
        <v>347</v>
      </c>
      <c r="O133" s="5">
        <f t="shared" si="8"/>
        <v>100</v>
      </c>
      <c r="P133" s="5" t="s">
        <v>152</v>
      </c>
      <c r="Q133" s="5" t="s">
        <v>153</v>
      </c>
      <c r="R133" s="5">
        <v>100</v>
      </c>
      <c r="S133" s="5" t="str">
        <f t="shared" si="9"/>
        <v>Aprobado</v>
      </c>
      <c r="T133" s="5">
        <f t="shared" si="10"/>
        <v>100</v>
      </c>
      <c r="U133" s="5" t="str">
        <f t="shared" si="11"/>
        <v>Supera los requisitos</v>
      </c>
      <c r="V133" s="5" t="s">
        <v>512</v>
      </c>
      <c r="W133" s="5" t="s">
        <v>214</v>
      </c>
      <c r="X133" s="5"/>
      <c r="Y133" s="5" t="s">
        <v>355</v>
      </c>
      <c r="Z133" s="5"/>
    </row>
    <row r="134" spans="1:26" ht="90" x14ac:dyDescent="0.25">
      <c r="A134" s="5" t="s">
        <v>79</v>
      </c>
      <c r="B134" s="5" t="s">
        <v>70</v>
      </c>
      <c r="C134" s="5" t="s">
        <v>78</v>
      </c>
      <c r="D134" s="5" t="s">
        <v>239</v>
      </c>
      <c r="E134" s="5" t="s">
        <v>255</v>
      </c>
      <c r="F134" s="5" t="s">
        <v>372</v>
      </c>
      <c r="G134" s="5" t="s">
        <v>373</v>
      </c>
      <c r="H134" s="5" t="s">
        <v>374</v>
      </c>
      <c r="I134" s="5" t="s">
        <v>344</v>
      </c>
      <c r="J134" s="5" t="s">
        <v>345</v>
      </c>
      <c r="K134" s="5" t="s">
        <v>346</v>
      </c>
      <c r="L134" s="5">
        <v>4</v>
      </c>
      <c r="M134" s="5">
        <v>4</v>
      </c>
      <c r="N134" s="5" t="s">
        <v>347</v>
      </c>
      <c r="O134" s="5">
        <f t="shared" si="8"/>
        <v>100</v>
      </c>
      <c r="P134" s="5" t="s">
        <v>152</v>
      </c>
      <c r="Q134" s="5" t="s">
        <v>153</v>
      </c>
      <c r="R134" s="5">
        <v>100</v>
      </c>
      <c r="S134" s="5" t="str">
        <f t="shared" si="9"/>
        <v>Aprobado</v>
      </c>
      <c r="T134" s="5">
        <f t="shared" si="10"/>
        <v>100</v>
      </c>
      <c r="U134" s="5" t="str">
        <f t="shared" si="11"/>
        <v>Supera los requisitos</v>
      </c>
      <c r="V134" s="5" t="s">
        <v>513</v>
      </c>
      <c r="W134" s="5" t="s">
        <v>214</v>
      </c>
      <c r="X134" s="5"/>
      <c r="Y134" s="5" t="s">
        <v>355</v>
      </c>
      <c r="Z134" s="5"/>
    </row>
    <row r="135" spans="1:26" ht="90" x14ac:dyDescent="0.25">
      <c r="A135" s="5" t="s">
        <v>79</v>
      </c>
      <c r="B135" s="5" t="s">
        <v>70</v>
      </c>
      <c r="C135" s="5" t="s">
        <v>78</v>
      </c>
      <c r="D135" s="5" t="s">
        <v>239</v>
      </c>
      <c r="E135" s="5" t="s">
        <v>255</v>
      </c>
      <c r="F135" s="5" t="s">
        <v>378</v>
      </c>
      <c r="G135" s="5" t="s">
        <v>379</v>
      </c>
      <c r="H135" s="5" t="s">
        <v>380</v>
      </c>
      <c r="I135" s="5" t="s">
        <v>344</v>
      </c>
      <c r="J135" s="5" t="s">
        <v>345</v>
      </c>
      <c r="K135" s="5" t="s">
        <v>346</v>
      </c>
      <c r="L135" s="5">
        <v>4</v>
      </c>
      <c r="M135" s="5">
        <v>4</v>
      </c>
      <c r="N135" s="5" t="s">
        <v>347</v>
      </c>
      <c r="O135" s="5">
        <f t="shared" si="8"/>
        <v>100</v>
      </c>
      <c r="P135" s="5" t="s">
        <v>152</v>
      </c>
      <c r="Q135" s="5" t="s">
        <v>153</v>
      </c>
      <c r="R135" s="5">
        <v>100</v>
      </c>
      <c r="S135" s="5" t="str">
        <f t="shared" si="9"/>
        <v>Aprobado</v>
      </c>
      <c r="T135" s="5">
        <f t="shared" si="10"/>
        <v>100</v>
      </c>
      <c r="U135" s="5" t="str">
        <f t="shared" si="11"/>
        <v>Supera los requisitos</v>
      </c>
      <c r="V135" s="5" t="s">
        <v>514</v>
      </c>
      <c r="W135" s="5" t="s">
        <v>214</v>
      </c>
      <c r="X135" s="5"/>
      <c r="Y135" s="5" t="s">
        <v>355</v>
      </c>
      <c r="Z135" s="5"/>
    </row>
    <row r="136" spans="1:26" ht="90" x14ac:dyDescent="0.25">
      <c r="A136" s="5" t="s">
        <v>79</v>
      </c>
      <c r="B136" s="5" t="s">
        <v>70</v>
      </c>
      <c r="C136" s="5" t="s">
        <v>78</v>
      </c>
      <c r="D136" s="5" t="s">
        <v>239</v>
      </c>
      <c r="E136" s="5" t="s">
        <v>255</v>
      </c>
      <c r="F136" s="5" t="s">
        <v>384</v>
      </c>
      <c r="G136" s="5" t="s">
        <v>385</v>
      </c>
      <c r="H136" s="5" t="s">
        <v>386</v>
      </c>
      <c r="I136" s="5" t="s">
        <v>344</v>
      </c>
      <c r="J136" s="5" t="s">
        <v>345</v>
      </c>
      <c r="K136" s="5" t="s">
        <v>346</v>
      </c>
      <c r="L136" s="5">
        <v>4</v>
      </c>
      <c r="M136" s="5">
        <v>4</v>
      </c>
      <c r="N136" s="5" t="s">
        <v>347</v>
      </c>
      <c r="O136" s="5">
        <f t="shared" si="8"/>
        <v>100</v>
      </c>
      <c r="P136" s="5" t="s">
        <v>152</v>
      </c>
      <c r="Q136" s="5" t="s">
        <v>153</v>
      </c>
      <c r="R136" s="5">
        <v>100</v>
      </c>
      <c r="S136" s="5" t="str">
        <f t="shared" si="9"/>
        <v>Aprobado</v>
      </c>
      <c r="T136" s="5">
        <f t="shared" si="10"/>
        <v>100</v>
      </c>
      <c r="U136" s="5" t="str">
        <f t="shared" si="11"/>
        <v>Supera los requisitos</v>
      </c>
      <c r="V136" s="5" t="s">
        <v>515</v>
      </c>
      <c r="W136" s="5" t="s">
        <v>214</v>
      </c>
      <c r="X136" s="5"/>
      <c r="Y136" s="5" t="s">
        <v>355</v>
      </c>
      <c r="Z136" s="5"/>
    </row>
    <row r="137" spans="1:26" ht="90" x14ac:dyDescent="0.25">
      <c r="A137" s="5" t="s">
        <v>84</v>
      </c>
      <c r="B137" s="5" t="s">
        <v>81</v>
      </c>
      <c r="C137" s="5" t="s">
        <v>83</v>
      </c>
      <c r="D137" s="5" t="s">
        <v>267</v>
      </c>
      <c r="E137" s="5" t="s">
        <v>268</v>
      </c>
      <c r="F137" s="5" t="s">
        <v>341</v>
      </c>
      <c r="G137" s="5" t="s">
        <v>342</v>
      </c>
      <c r="H137" s="5" t="s">
        <v>343</v>
      </c>
      <c r="I137" s="5" t="s">
        <v>344</v>
      </c>
      <c r="J137" s="5" t="s">
        <v>345</v>
      </c>
      <c r="K137" s="5" t="s">
        <v>346</v>
      </c>
      <c r="L137" s="5">
        <v>2</v>
      </c>
      <c r="M137" s="5">
        <v>3</v>
      </c>
      <c r="N137" s="5" t="s">
        <v>347</v>
      </c>
      <c r="O137" s="5">
        <f t="shared" si="8"/>
        <v>66.67</v>
      </c>
      <c r="P137" s="5" t="s">
        <v>152</v>
      </c>
      <c r="Q137" s="5" t="s">
        <v>153</v>
      </c>
      <c r="R137" s="5">
        <v>100</v>
      </c>
      <c r="S137" s="5" t="str">
        <f t="shared" si="9"/>
        <v>Rechazado</v>
      </c>
      <c r="T137" s="5">
        <f t="shared" si="10"/>
        <v>66.67</v>
      </c>
      <c r="U137" s="5" t="str">
        <f t="shared" si="11"/>
        <v>Rango objetivo</v>
      </c>
      <c r="V137" s="5" t="s">
        <v>516</v>
      </c>
      <c r="W137" s="5" t="s">
        <v>214</v>
      </c>
      <c r="X137" s="5" t="s">
        <v>517</v>
      </c>
      <c r="Y137" s="5" t="s">
        <v>518</v>
      </c>
      <c r="Z137" s="5"/>
    </row>
    <row r="138" spans="1:26" ht="150" x14ac:dyDescent="0.25">
      <c r="A138" s="5" t="s">
        <v>84</v>
      </c>
      <c r="B138" s="5" t="s">
        <v>81</v>
      </c>
      <c r="C138" s="5" t="s">
        <v>83</v>
      </c>
      <c r="D138" s="5" t="s">
        <v>267</v>
      </c>
      <c r="E138" s="5" t="s">
        <v>268</v>
      </c>
      <c r="F138" s="5" t="s">
        <v>351</v>
      </c>
      <c r="G138" s="5" t="s">
        <v>352</v>
      </c>
      <c r="H138" s="5" t="s">
        <v>353</v>
      </c>
      <c r="I138" s="5" t="s">
        <v>344</v>
      </c>
      <c r="J138" s="5" t="s">
        <v>345</v>
      </c>
      <c r="K138" s="5" t="s">
        <v>346</v>
      </c>
      <c r="L138" s="5">
        <v>2</v>
      </c>
      <c r="M138" s="5">
        <v>3</v>
      </c>
      <c r="N138" s="5" t="s">
        <v>347</v>
      </c>
      <c r="O138" s="5">
        <f t="shared" si="8"/>
        <v>66.67</v>
      </c>
      <c r="P138" s="5" t="s">
        <v>152</v>
      </c>
      <c r="Q138" s="5" t="s">
        <v>153</v>
      </c>
      <c r="R138" s="5">
        <v>100</v>
      </c>
      <c r="S138" s="5" t="str">
        <f t="shared" si="9"/>
        <v>Rechazado</v>
      </c>
      <c r="T138" s="5">
        <f t="shared" si="10"/>
        <v>66.67</v>
      </c>
      <c r="U138" s="5" t="str">
        <f t="shared" si="11"/>
        <v>Rango objetivo</v>
      </c>
      <c r="V138" s="5" t="s">
        <v>519</v>
      </c>
      <c r="W138" s="5" t="s">
        <v>214</v>
      </c>
      <c r="X138" s="5" t="s">
        <v>520</v>
      </c>
      <c r="Y138" s="5" t="s">
        <v>521</v>
      </c>
      <c r="Z138" s="5"/>
    </row>
    <row r="139" spans="1:26" ht="90" x14ac:dyDescent="0.25">
      <c r="A139" s="5" t="s">
        <v>84</v>
      </c>
      <c r="B139" s="5" t="s">
        <v>81</v>
      </c>
      <c r="C139" s="5" t="s">
        <v>83</v>
      </c>
      <c r="D139" s="5" t="s">
        <v>267</v>
      </c>
      <c r="E139" s="5" t="s">
        <v>268</v>
      </c>
      <c r="F139" s="5" t="s">
        <v>356</v>
      </c>
      <c r="G139" s="5" t="s">
        <v>357</v>
      </c>
      <c r="H139" s="5" t="s">
        <v>358</v>
      </c>
      <c r="I139" s="5" t="s">
        <v>344</v>
      </c>
      <c r="J139" s="5" t="s">
        <v>345</v>
      </c>
      <c r="K139" s="5" t="s">
        <v>346</v>
      </c>
      <c r="L139" s="5">
        <v>3</v>
      </c>
      <c r="M139" s="5">
        <v>3</v>
      </c>
      <c r="N139" s="5" t="s">
        <v>347</v>
      </c>
      <c r="O139" s="5">
        <f t="shared" si="8"/>
        <v>100</v>
      </c>
      <c r="P139" s="5" t="s">
        <v>152</v>
      </c>
      <c r="Q139" s="5" t="s">
        <v>153</v>
      </c>
      <c r="R139" s="5">
        <v>100</v>
      </c>
      <c r="S139" s="5" t="str">
        <f t="shared" si="9"/>
        <v>Aprobado</v>
      </c>
      <c r="T139" s="5">
        <f t="shared" si="10"/>
        <v>100</v>
      </c>
      <c r="U139" s="5" t="str">
        <f t="shared" si="11"/>
        <v>Supera los requisitos</v>
      </c>
      <c r="V139" s="5" t="s">
        <v>522</v>
      </c>
      <c r="W139" s="5" t="s">
        <v>214</v>
      </c>
      <c r="X139" s="5"/>
      <c r="Y139" s="5" t="s">
        <v>355</v>
      </c>
      <c r="Z139" s="5"/>
    </row>
    <row r="140" spans="1:26" ht="90" x14ac:dyDescent="0.25">
      <c r="A140" s="5" t="s">
        <v>84</v>
      </c>
      <c r="B140" s="5" t="s">
        <v>81</v>
      </c>
      <c r="C140" s="5" t="s">
        <v>83</v>
      </c>
      <c r="D140" s="5" t="s">
        <v>267</v>
      </c>
      <c r="E140" s="5" t="s">
        <v>268</v>
      </c>
      <c r="F140" s="5" t="s">
        <v>360</v>
      </c>
      <c r="G140" s="5" t="s">
        <v>361</v>
      </c>
      <c r="H140" s="5" t="s">
        <v>362</v>
      </c>
      <c r="I140" s="5" t="s">
        <v>344</v>
      </c>
      <c r="J140" s="5" t="s">
        <v>345</v>
      </c>
      <c r="K140" s="5" t="s">
        <v>346</v>
      </c>
      <c r="L140" s="5">
        <v>3</v>
      </c>
      <c r="M140" s="5">
        <v>3</v>
      </c>
      <c r="N140" s="5" t="s">
        <v>347</v>
      </c>
      <c r="O140" s="5">
        <f t="shared" si="8"/>
        <v>100</v>
      </c>
      <c r="P140" s="5" t="s">
        <v>152</v>
      </c>
      <c r="Q140" s="5" t="s">
        <v>153</v>
      </c>
      <c r="R140" s="5">
        <v>100</v>
      </c>
      <c r="S140" s="5" t="str">
        <f t="shared" si="9"/>
        <v>Aprobado</v>
      </c>
      <c r="T140" s="5">
        <f t="shared" si="10"/>
        <v>100</v>
      </c>
      <c r="U140" s="5" t="str">
        <f t="shared" si="11"/>
        <v>Supera los requisitos</v>
      </c>
      <c r="V140" s="5" t="s">
        <v>523</v>
      </c>
      <c r="W140" s="5" t="s">
        <v>214</v>
      </c>
      <c r="X140" s="5"/>
      <c r="Y140" s="5" t="s">
        <v>355</v>
      </c>
      <c r="Z140" s="5"/>
    </row>
    <row r="141" spans="1:26" ht="90" x14ac:dyDescent="0.25">
      <c r="A141" s="5" t="s">
        <v>84</v>
      </c>
      <c r="B141" s="5" t="s">
        <v>81</v>
      </c>
      <c r="C141" s="5" t="s">
        <v>83</v>
      </c>
      <c r="D141" s="5" t="s">
        <v>267</v>
      </c>
      <c r="E141" s="5" t="s">
        <v>268</v>
      </c>
      <c r="F141" s="5" t="s">
        <v>364</v>
      </c>
      <c r="G141" s="5" t="s">
        <v>365</v>
      </c>
      <c r="H141" s="5" t="s">
        <v>366</v>
      </c>
      <c r="I141" s="5" t="s">
        <v>344</v>
      </c>
      <c r="J141" s="5" t="s">
        <v>345</v>
      </c>
      <c r="K141" s="5" t="s">
        <v>346</v>
      </c>
      <c r="L141" s="5">
        <v>3</v>
      </c>
      <c r="M141" s="5">
        <v>3</v>
      </c>
      <c r="N141" s="5" t="s">
        <v>347</v>
      </c>
      <c r="O141" s="5">
        <f t="shared" si="8"/>
        <v>100</v>
      </c>
      <c r="P141" s="5" t="s">
        <v>152</v>
      </c>
      <c r="Q141" s="5" t="s">
        <v>153</v>
      </c>
      <c r="R141" s="5">
        <v>100</v>
      </c>
      <c r="S141" s="5" t="str">
        <f t="shared" si="9"/>
        <v>Aprobado</v>
      </c>
      <c r="T141" s="5">
        <f t="shared" si="10"/>
        <v>100</v>
      </c>
      <c r="U141" s="5" t="str">
        <f t="shared" si="11"/>
        <v>Supera los requisitos</v>
      </c>
      <c r="V141" s="5" t="s">
        <v>524</v>
      </c>
      <c r="W141" s="5" t="s">
        <v>214</v>
      </c>
      <c r="X141" s="5"/>
      <c r="Y141" s="5" t="s">
        <v>355</v>
      </c>
      <c r="Z141" s="5"/>
    </row>
    <row r="142" spans="1:26" ht="90" x14ac:dyDescent="0.25">
      <c r="A142" s="5" t="s">
        <v>84</v>
      </c>
      <c r="B142" s="5" t="s">
        <v>81</v>
      </c>
      <c r="C142" s="5" t="s">
        <v>83</v>
      </c>
      <c r="D142" s="5" t="s">
        <v>267</v>
      </c>
      <c r="E142" s="5" t="s">
        <v>268</v>
      </c>
      <c r="F142" s="5" t="s">
        <v>368</v>
      </c>
      <c r="G142" s="5" t="s">
        <v>369</v>
      </c>
      <c r="H142" s="5" t="s">
        <v>370</v>
      </c>
      <c r="I142" s="5" t="s">
        <v>344</v>
      </c>
      <c r="J142" s="5" t="s">
        <v>345</v>
      </c>
      <c r="K142" s="5" t="s">
        <v>346</v>
      </c>
      <c r="L142" s="5">
        <v>3</v>
      </c>
      <c r="M142" s="5">
        <v>3</v>
      </c>
      <c r="N142" s="5" t="s">
        <v>347</v>
      </c>
      <c r="O142" s="5">
        <f t="shared" si="8"/>
        <v>100</v>
      </c>
      <c r="P142" s="5" t="s">
        <v>152</v>
      </c>
      <c r="Q142" s="5" t="s">
        <v>153</v>
      </c>
      <c r="R142" s="5">
        <v>100</v>
      </c>
      <c r="S142" s="5" t="str">
        <f t="shared" si="9"/>
        <v>Aprobado</v>
      </c>
      <c r="T142" s="5">
        <f t="shared" si="10"/>
        <v>100</v>
      </c>
      <c r="U142" s="5" t="str">
        <f t="shared" si="11"/>
        <v>Supera los requisitos</v>
      </c>
      <c r="V142" s="5" t="s">
        <v>525</v>
      </c>
      <c r="W142" s="5" t="s">
        <v>214</v>
      </c>
      <c r="X142" s="5"/>
      <c r="Y142" s="5" t="s">
        <v>355</v>
      </c>
      <c r="Z142" s="5"/>
    </row>
    <row r="143" spans="1:26" ht="90" x14ac:dyDescent="0.25">
      <c r="A143" s="5" t="s">
        <v>84</v>
      </c>
      <c r="B143" s="5" t="s">
        <v>81</v>
      </c>
      <c r="C143" s="5" t="s">
        <v>83</v>
      </c>
      <c r="D143" s="5" t="s">
        <v>267</v>
      </c>
      <c r="E143" s="5" t="s">
        <v>268</v>
      </c>
      <c r="F143" s="5" t="s">
        <v>372</v>
      </c>
      <c r="G143" s="5" t="s">
        <v>373</v>
      </c>
      <c r="H143" s="5" t="s">
        <v>374</v>
      </c>
      <c r="I143" s="5" t="s">
        <v>344</v>
      </c>
      <c r="J143" s="5" t="s">
        <v>345</v>
      </c>
      <c r="K143" s="5" t="s">
        <v>346</v>
      </c>
      <c r="L143" s="5">
        <v>3</v>
      </c>
      <c r="M143" s="5">
        <v>3</v>
      </c>
      <c r="N143" s="5" t="s">
        <v>347</v>
      </c>
      <c r="O143" s="5">
        <f t="shared" si="8"/>
        <v>100</v>
      </c>
      <c r="P143" s="5" t="s">
        <v>152</v>
      </c>
      <c r="Q143" s="5" t="s">
        <v>153</v>
      </c>
      <c r="R143" s="5">
        <v>100</v>
      </c>
      <c r="S143" s="5" t="str">
        <f t="shared" si="9"/>
        <v>Aprobado</v>
      </c>
      <c r="T143" s="5">
        <f t="shared" si="10"/>
        <v>100</v>
      </c>
      <c r="U143" s="5" t="str">
        <f t="shared" si="11"/>
        <v>Supera los requisitos</v>
      </c>
      <c r="V143" s="5" t="s">
        <v>526</v>
      </c>
      <c r="W143" s="5" t="s">
        <v>214</v>
      </c>
      <c r="X143" s="5"/>
      <c r="Y143" s="5" t="s">
        <v>355</v>
      </c>
      <c r="Z143" s="5"/>
    </row>
    <row r="144" spans="1:26" ht="90" x14ac:dyDescent="0.25">
      <c r="A144" s="5" t="s">
        <v>84</v>
      </c>
      <c r="B144" s="5" t="s">
        <v>81</v>
      </c>
      <c r="C144" s="5" t="s">
        <v>83</v>
      </c>
      <c r="D144" s="5" t="s">
        <v>267</v>
      </c>
      <c r="E144" s="5" t="s">
        <v>268</v>
      </c>
      <c r="F144" s="5" t="s">
        <v>378</v>
      </c>
      <c r="G144" s="5" t="s">
        <v>379</v>
      </c>
      <c r="H144" s="5" t="s">
        <v>380</v>
      </c>
      <c r="I144" s="5" t="s">
        <v>344</v>
      </c>
      <c r="J144" s="5" t="s">
        <v>345</v>
      </c>
      <c r="K144" s="5" t="s">
        <v>346</v>
      </c>
      <c r="L144" s="5">
        <v>3</v>
      </c>
      <c r="M144" s="5">
        <v>3</v>
      </c>
      <c r="N144" s="5" t="s">
        <v>347</v>
      </c>
      <c r="O144" s="5">
        <f t="shared" si="8"/>
        <v>100</v>
      </c>
      <c r="P144" s="5" t="s">
        <v>152</v>
      </c>
      <c r="Q144" s="5" t="s">
        <v>153</v>
      </c>
      <c r="R144" s="5">
        <v>100</v>
      </c>
      <c r="S144" s="5" t="str">
        <f t="shared" si="9"/>
        <v>Aprobado</v>
      </c>
      <c r="T144" s="5">
        <f t="shared" si="10"/>
        <v>100</v>
      </c>
      <c r="U144" s="5" t="str">
        <f t="shared" si="11"/>
        <v>Supera los requisitos</v>
      </c>
      <c r="V144" s="5" t="s">
        <v>527</v>
      </c>
      <c r="W144" s="5" t="s">
        <v>214</v>
      </c>
      <c r="X144" s="5"/>
      <c r="Y144" s="5" t="s">
        <v>355</v>
      </c>
      <c r="Z144" s="5"/>
    </row>
    <row r="145" spans="1:26" ht="90" x14ac:dyDescent="0.25">
      <c r="A145" s="5" t="s">
        <v>84</v>
      </c>
      <c r="B145" s="5" t="s">
        <v>81</v>
      </c>
      <c r="C145" s="5" t="s">
        <v>83</v>
      </c>
      <c r="D145" s="5" t="s">
        <v>267</v>
      </c>
      <c r="E145" s="5" t="s">
        <v>268</v>
      </c>
      <c r="F145" s="5" t="s">
        <v>384</v>
      </c>
      <c r="G145" s="5" t="s">
        <v>385</v>
      </c>
      <c r="H145" s="5" t="s">
        <v>386</v>
      </c>
      <c r="I145" s="5" t="s">
        <v>344</v>
      </c>
      <c r="J145" s="5" t="s">
        <v>345</v>
      </c>
      <c r="K145" s="5" t="s">
        <v>346</v>
      </c>
      <c r="L145" s="5">
        <v>3</v>
      </c>
      <c r="M145" s="5">
        <v>3</v>
      </c>
      <c r="N145" s="5" t="s">
        <v>347</v>
      </c>
      <c r="O145" s="5">
        <f t="shared" si="8"/>
        <v>100</v>
      </c>
      <c r="P145" s="5" t="s">
        <v>152</v>
      </c>
      <c r="Q145" s="5" t="s">
        <v>153</v>
      </c>
      <c r="R145" s="5">
        <v>100</v>
      </c>
      <c r="S145" s="5" t="str">
        <f t="shared" si="9"/>
        <v>Aprobado</v>
      </c>
      <c r="T145" s="5">
        <f t="shared" si="10"/>
        <v>100</v>
      </c>
      <c r="U145" s="5" t="str">
        <f t="shared" si="11"/>
        <v>Supera los requisitos</v>
      </c>
      <c r="V145" s="5" t="s">
        <v>528</v>
      </c>
      <c r="W145" s="5" t="s">
        <v>214</v>
      </c>
      <c r="X145" s="5"/>
      <c r="Y145" s="5" t="s">
        <v>355</v>
      </c>
      <c r="Z145" s="5"/>
    </row>
    <row r="146" spans="1:26" ht="90" x14ac:dyDescent="0.25">
      <c r="A146" s="5" t="s">
        <v>86</v>
      </c>
      <c r="B146" s="5" t="s">
        <v>81</v>
      </c>
      <c r="C146" s="5" t="s">
        <v>85</v>
      </c>
      <c r="D146" s="5" t="s">
        <v>275</v>
      </c>
      <c r="E146" s="5" t="s">
        <v>268</v>
      </c>
      <c r="F146" s="5" t="s">
        <v>341</v>
      </c>
      <c r="G146" s="5" t="s">
        <v>342</v>
      </c>
      <c r="H146" s="5" t="s">
        <v>343</v>
      </c>
      <c r="I146" s="5" t="s">
        <v>344</v>
      </c>
      <c r="J146" s="5" t="s">
        <v>345</v>
      </c>
      <c r="K146" s="5" t="s">
        <v>346</v>
      </c>
      <c r="L146" s="5">
        <v>3</v>
      </c>
      <c r="M146" s="5">
        <v>3</v>
      </c>
      <c r="N146" s="5" t="s">
        <v>347</v>
      </c>
      <c r="O146" s="5">
        <f t="shared" si="8"/>
        <v>100</v>
      </c>
      <c r="P146" s="5" t="s">
        <v>152</v>
      </c>
      <c r="Q146" s="5" t="s">
        <v>153</v>
      </c>
      <c r="R146" s="5">
        <v>100</v>
      </c>
      <c r="S146" s="5" t="str">
        <f t="shared" si="9"/>
        <v>Aprobado</v>
      </c>
      <c r="T146" s="5">
        <f t="shared" si="10"/>
        <v>100</v>
      </c>
      <c r="U146" s="5" t="str">
        <f t="shared" si="11"/>
        <v>Supera los requisitos</v>
      </c>
      <c r="V146" s="5" t="s">
        <v>516</v>
      </c>
      <c r="W146" s="5" t="s">
        <v>214</v>
      </c>
      <c r="X146" s="5"/>
      <c r="Y146" s="5" t="s">
        <v>355</v>
      </c>
      <c r="Z146" s="5"/>
    </row>
    <row r="147" spans="1:26" ht="90" x14ac:dyDescent="0.25">
      <c r="A147" s="5" t="s">
        <v>86</v>
      </c>
      <c r="B147" s="5" t="s">
        <v>81</v>
      </c>
      <c r="C147" s="5" t="s">
        <v>85</v>
      </c>
      <c r="D147" s="5" t="s">
        <v>275</v>
      </c>
      <c r="E147" s="5" t="s">
        <v>268</v>
      </c>
      <c r="F147" s="5" t="s">
        <v>351</v>
      </c>
      <c r="G147" s="5" t="s">
        <v>352</v>
      </c>
      <c r="H147" s="5" t="s">
        <v>353</v>
      </c>
      <c r="I147" s="5" t="s">
        <v>344</v>
      </c>
      <c r="J147" s="5" t="s">
        <v>345</v>
      </c>
      <c r="K147" s="5" t="s">
        <v>346</v>
      </c>
      <c r="L147" s="5">
        <v>3</v>
      </c>
      <c r="M147" s="5">
        <v>3</v>
      </c>
      <c r="N147" s="5" t="s">
        <v>347</v>
      </c>
      <c r="O147" s="5">
        <f t="shared" si="8"/>
        <v>100</v>
      </c>
      <c r="P147" s="5" t="s">
        <v>152</v>
      </c>
      <c r="Q147" s="5" t="s">
        <v>153</v>
      </c>
      <c r="R147" s="5">
        <v>100</v>
      </c>
      <c r="S147" s="5" t="str">
        <f t="shared" si="9"/>
        <v>Aprobado</v>
      </c>
      <c r="T147" s="5">
        <f t="shared" si="10"/>
        <v>100</v>
      </c>
      <c r="U147" s="5" t="str">
        <f t="shared" si="11"/>
        <v>Supera los requisitos</v>
      </c>
      <c r="V147" s="5" t="s">
        <v>519</v>
      </c>
      <c r="W147" s="5" t="s">
        <v>214</v>
      </c>
      <c r="X147" s="5"/>
      <c r="Y147" s="5" t="s">
        <v>355</v>
      </c>
      <c r="Z147" s="5"/>
    </row>
    <row r="148" spans="1:26" ht="90" x14ac:dyDescent="0.25">
      <c r="A148" s="5" t="s">
        <v>86</v>
      </c>
      <c r="B148" s="5" t="s">
        <v>81</v>
      </c>
      <c r="C148" s="5" t="s">
        <v>85</v>
      </c>
      <c r="D148" s="5" t="s">
        <v>275</v>
      </c>
      <c r="E148" s="5" t="s">
        <v>268</v>
      </c>
      <c r="F148" s="5" t="s">
        <v>356</v>
      </c>
      <c r="G148" s="5" t="s">
        <v>357</v>
      </c>
      <c r="H148" s="5" t="s">
        <v>358</v>
      </c>
      <c r="I148" s="5" t="s">
        <v>344</v>
      </c>
      <c r="J148" s="5" t="s">
        <v>345</v>
      </c>
      <c r="K148" s="5" t="s">
        <v>346</v>
      </c>
      <c r="L148" s="5">
        <v>3</v>
      </c>
      <c r="M148" s="5">
        <v>3</v>
      </c>
      <c r="N148" s="5" t="s">
        <v>347</v>
      </c>
      <c r="O148" s="5">
        <f t="shared" si="8"/>
        <v>100</v>
      </c>
      <c r="P148" s="5" t="s">
        <v>152</v>
      </c>
      <c r="Q148" s="5" t="s">
        <v>153</v>
      </c>
      <c r="R148" s="5">
        <v>100</v>
      </c>
      <c r="S148" s="5" t="str">
        <f t="shared" si="9"/>
        <v>Aprobado</v>
      </c>
      <c r="T148" s="5">
        <f t="shared" si="10"/>
        <v>100</v>
      </c>
      <c r="U148" s="5" t="str">
        <f t="shared" si="11"/>
        <v>Supera los requisitos</v>
      </c>
      <c r="V148" s="5" t="s">
        <v>522</v>
      </c>
      <c r="W148" s="5" t="s">
        <v>214</v>
      </c>
      <c r="X148" s="5"/>
      <c r="Y148" s="5" t="s">
        <v>355</v>
      </c>
      <c r="Z148" s="5"/>
    </row>
    <row r="149" spans="1:26" ht="90" x14ac:dyDescent="0.25">
      <c r="A149" s="5" t="s">
        <v>86</v>
      </c>
      <c r="B149" s="5" t="s">
        <v>81</v>
      </c>
      <c r="C149" s="5" t="s">
        <v>85</v>
      </c>
      <c r="D149" s="5" t="s">
        <v>275</v>
      </c>
      <c r="E149" s="5" t="s">
        <v>268</v>
      </c>
      <c r="F149" s="5" t="s">
        <v>360</v>
      </c>
      <c r="G149" s="5" t="s">
        <v>361</v>
      </c>
      <c r="H149" s="5" t="s">
        <v>362</v>
      </c>
      <c r="I149" s="5" t="s">
        <v>344</v>
      </c>
      <c r="J149" s="5" t="s">
        <v>345</v>
      </c>
      <c r="K149" s="5" t="s">
        <v>346</v>
      </c>
      <c r="L149" s="5">
        <v>3</v>
      </c>
      <c r="M149" s="5">
        <v>3</v>
      </c>
      <c r="N149" s="5" t="s">
        <v>347</v>
      </c>
      <c r="O149" s="5">
        <f t="shared" si="8"/>
        <v>100</v>
      </c>
      <c r="P149" s="5" t="s">
        <v>152</v>
      </c>
      <c r="Q149" s="5" t="s">
        <v>153</v>
      </c>
      <c r="R149" s="5">
        <v>100</v>
      </c>
      <c r="S149" s="5" t="str">
        <f t="shared" si="9"/>
        <v>Aprobado</v>
      </c>
      <c r="T149" s="5">
        <f t="shared" si="10"/>
        <v>100</v>
      </c>
      <c r="U149" s="5" t="str">
        <f t="shared" si="11"/>
        <v>Supera los requisitos</v>
      </c>
      <c r="V149" s="5" t="s">
        <v>523</v>
      </c>
      <c r="W149" s="5" t="s">
        <v>214</v>
      </c>
      <c r="X149" s="5"/>
      <c r="Y149" s="5" t="s">
        <v>355</v>
      </c>
      <c r="Z149" s="5"/>
    </row>
    <row r="150" spans="1:26" ht="90" x14ac:dyDescent="0.25">
      <c r="A150" s="5" t="s">
        <v>86</v>
      </c>
      <c r="B150" s="5" t="s">
        <v>81</v>
      </c>
      <c r="C150" s="5" t="s">
        <v>85</v>
      </c>
      <c r="D150" s="5" t="s">
        <v>275</v>
      </c>
      <c r="E150" s="5" t="s">
        <v>268</v>
      </c>
      <c r="F150" s="5" t="s">
        <v>364</v>
      </c>
      <c r="G150" s="5" t="s">
        <v>365</v>
      </c>
      <c r="H150" s="5" t="s">
        <v>366</v>
      </c>
      <c r="I150" s="5" t="s">
        <v>344</v>
      </c>
      <c r="J150" s="5" t="s">
        <v>345</v>
      </c>
      <c r="K150" s="5" t="s">
        <v>346</v>
      </c>
      <c r="L150" s="5">
        <v>3</v>
      </c>
      <c r="M150" s="5">
        <v>3</v>
      </c>
      <c r="N150" s="5" t="s">
        <v>347</v>
      </c>
      <c r="O150" s="5">
        <f t="shared" si="8"/>
        <v>100</v>
      </c>
      <c r="P150" s="5" t="s">
        <v>152</v>
      </c>
      <c r="Q150" s="5" t="s">
        <v>153</v>
      </c>
      <c r="R150" s="5">
        <v>100</v>
      </c>
      <c r="S150" s="5" t="str">
        <f t="shared" si="9"/>
        <v>Aprobado</v>
      </c>
      <c r="T150" s="5">
        <f t="shared" si="10"/>
        <v>100</v>
      </c>
      <c r="U150" s="5" t="str">
        <f t="shared" si="11"/>
        <v>Supera los requisitos</v>
      </c>
      <c r="V150" s="5" t="s">
        <v>524</v>
      </c>
      <c r="W150" s="5" t="s">
        <v>214</v>
      </c>
      <c r="X150" s="5"/>
      <c r="Y150" s="5" t="s">
        <v>355</v>
      </c>
      <c r="Z150" s="5"/>
    </row>
    <row r="151" spans="1:26" ht="150" x14ac:dyDescent="0.25">
      <c r="A151" s="5" t="s">
        <v>86</v>
      </c>
      <c r="B151" s="5" t="s">
        <v>81</v>
      </c>
      <c r="C151" s="5" t="s">
        <v>85</v>
      </c>
      <c r="D151" s="5" t="s">
        <v>275</v>
      </c>
      <c r="E151" s="5" t="s">
        <v>268</v>
      </c>
      <c r="F151" s="5" t="s">
        <v>368</v>
      </c>
      <c r="G151" s="5" t="s">
        <v>369</v>
      </c>
      <c r="H151" s="5" t="s">
        <v>370</v>
      </c>
      <c r="I151" s="5" t="s">
        <v>344</v>
      </c>
      <c r="J151" s="5" t="s">
        <v>345</v>
      </c>
      <c r="K151" s="5" t="s">
        <v>346</v>
      </c>
      <c r="L151" s="5">
        <v>3</v>
      </c>
      <c r="M151" s="5">
        <v>3</v>
      </c>
      <c r="N151" s="5" t="s">
        <v>347</v>
      </c>
      <c r="O151" s="5">
        <f t="shared" si="8"/>
        <v>100</v>
      </c>
      <c r="P151" s="5" t="s">
        <v>152</v>
      </c>
      <c r="Q151" s="5" t="s">
        <v>153</v>
      </c>
      <c r="R151" s="5">
        <v>100</v>
      </c>
      <c r="S151" s="5" t="str">
        <f t="shared" si="9"/>
        <v>Aprobado</v>
      </c>
      <c r="T151" s="5">
        <f t="shared" si="10"/>
        <v>100</v>
      </c>
      <c r="U151" s="5" t="str">
        <f t="shared" si="11"/>
        <v>Supera los requisitos</v>
      </c>
      <c r="V151" s="5" t="s">
        <v>525</v>
      </c>
      <c r="W151" s="5" t="s">
        <v>214</v>
      </c>
      <c r="X151" s="5" t="s">
        <v>529</v>
      </c>
      <c r="Y151" s="5" t="s">
        <v>530</v>
      </c>
      <c r="Z151" s="5"/>
    </row>
    <row r="152" spans="1:26" ht="90" x14ac:dyDescent="0.25">
      <c r="A152" s="5" t="s">
        <v>86</v>
      </c>
      <c r="B152" s="5" t="s">
        <v>81</v>
      </c>
      <c r="C152" s="5" t="s">
        <v>85</v>
      </c>
      <c r="D152" s="5" t="s">
        <v>275</v>
      </c>
      <c r="E152" s="5" t="s">
        <v>268</v>
      </c>
      <c r="F152" s="5" t="s">
        <v>372</v>
      </c>
      <c r="G152" s="5" t="s">
        <v>373</v>
      </c>
      <c r="H152" s="5" t="s">
        <v>374</v>
      </c>
      <c r="I152" s="5" t="s">
        <v>344</v>
      </c>
      <c r="J152" s="5" t="s">
        <v>345</v>
      </c>
      <c r="K152" s="5" t="s">
        <v>346</v>
      </c>
      <c r="L152" s="5">
        <v>3</v>
      </c>
      <c r="M152" s="5">
        <v>3</v>
      </c>
      <c r="N152" s="5" t="s">
        <v>347</v>
      </c>
      <c r="O152" s="5">
        <f t="shared" si="8"/>
        <v>100</v>
      </c>
      <c r="P152" s="5" t="s">
        <v>152</v>
      </c>
      <c r="Q152" s="5" t="s">
        <v>153</v>
      </c>
      <c r="R152" s="5">
        <v>100</v>
      </c>
      <c r="S152" s="5" t="str">
        <f t="shared" si="9"/>
        <v>Aprobado</v>
      </c>
      <c r="T152" s="5">
        <f t="shared" si="10"/>
        <v>100</v>
      </c>
      <c r="U152" s="5" t="str">
        <f t="shared" si="11"/>
        <v>Supera los requisitos</v>
      </c>
      <c r="V152" s="5" t="s">
        <v>526</v>
      </c>
      <c r="W152" s="5" t="s">
        <v>214</v>
      </c>
      <c r="X152" s="5"/>
      <c r="Y152" s="5" t="s">
        <v>355</v>
      </c>
      <c r="Z152" s="5"/>
    </row>
    <row r="153" spans="1:26" ht="90" x14ac:dyDescent="0.25">
      <c r="A153" s="5" t="s">
        <v>86</v>
      </c>
      <c r="B153" s="5" t="s">
        <v>81</v>
      </c>
      <c r="C153" s="5" t="s">
        <v>85</v>
      </c>
      <c r="D153" s="5" t="s">
        <v>275</v>
      </c>
      <c r="E153" s="5" t="s">
        <v>268</v>
      </c>
      <c r="F153" s="5" t="s">
        <v>378</v>
      </c>
      <c r="G153" s="5" t="s">
        <v>379</v>
      </c>
      <c r="H153" s="5" t="s">
        <v>380</v>
      </c>
      <c r="I153" s="5" t="s">
        <v>344</v>
      </c>
      <c r="J153" s="5" t="s">
        <v>345</v>
      </c>
      <c r="K153" s="5" t="s">
        <v>346</v>
      </c>
      <c r="L153" s="5">
        <v>3</v>
      </c>
      <c r="M153" s="5">
        <v>3</v>
      </c>
      <c r="N153" s="5" t="s">
        <v>347</v>
      </c>
      <c r="O153" s="5">
        <f t="shared" si="8"/>
        <v>100</v>
      </c>
      <c r="P153" s="5" t="s">
        <v>152</v>
      </c>
      <c r="Q153" s="5" t="s">
        <v>153</v>
      </c>
      <c r="R153" s="5">
        <v>100</v>
      </c>
      <c r="S153" s="5" t="str">
        <f t="shared" si="9"/>
        <v>Aprobado</v>
      </c>
      <c r="T153" s="5">
        <f t="shared" si="10"/>
        <v>100</v>
      </c>
      <c r="U153" s="5" t="str">
        <f t="shared" si="11"/>
        <v>Supera los requisitos</v>
      </c>
      <c r="V153" s="5" t="s">
        <v>527</v>
      </c>
      <c r="W153" s="5" t="s">
        <v>214</v>
      </c>
      <c r="X153" s="5"/>
      <c r="Y153" s="5" t="s">
        <v>355</v>
      </c>
      <c r="Z153" s="5"/>
    </row>
    <row r="154" spans="1:26" ht="90" x14ac:dyDescent="0.25">
      <c r="A154" s="5" t="s">
        <v>86</v>
      </c>
      <c r="B154" s="5" t="s">
        <v>81</v>
      </c>
      <c r="C154" s="5" t="s">
        <v>85</v>
      </c>
      <c r="D154" s="5" t="s">
        <v>275</v>
      </c>
      <c r="E154" s="5" t="s">
        <v>268</v>
      </c>
      <c r="F154" s="5" t="s">
        <v>384</v>
      </c>
      <c r="G154" s="5" t="s">
        <v>385</v>
      </c>
      <c r="H154" s="5" t="s">
        <v>386</v>
      </c>
      <c r="I154" s="5" t="s">
        <v>344</v>
      </c>
      <c r="J154" s="5" t="s">
        <v>345</v>
      </c>
      <c r="K154" s="5" t="s">
        <v>346</v>
      </c>
      <c r="L154" s="5">
        <v>3</v>
      </c>
      <c r="M154" s="5">
        <v>3</v>
      </c>
      <c r="N154" s="5" t="s">
        <v>347</v>
      </c>
      <c r="O154" s="5">
        <f t="shared" si="8"/>
        <v>100</v>
      </c>
      <c r="P154" s="5" t="s">
        <v>152</v>
      </c>
      <c r="Q154" s="5" t="s">
        <v>153</v>
      </c>
      <c r="R154" s="5">
        <v>100</v>
      </c>
      <c r="S154" s="5" t="str">
        <f t="shared" si="9"/>
        <v>Aprobado</v>
      </c>
      <c r="T154" s="5">
        <f t="shared" si="10"/>
        <v>100</v>
      </c>
      <c r="U154" s="5" t="str">
        <f t="shared" si="11"/>
        <v>Supera los requisitos</v>
      </c>
      <c r="V154" s="5" t="s">
        <v>528</v>
      </c>
      <c r="W154" s="5" t="s">
        <v>214</v>
      </c>
      <c r="X154" s="5"/>
      <c r="Y154" s="5" t="s">
        <v>355</v>
      </c>
      <c r="Z154" s="5"/>
    </row>
    <row r="155" spans="1:26" ht="90" x14ac:dyDescent="0.25">
      <c r="A155" s="5" t="s">
        <v>88</v>
      </c>
      <c r="B155" s="5" t="s">
        <v>81</v>
      </c>
      <c r="C155" s="5" t="s">
        <v>87</v>
      </c>
      <c r="D155" s="5" t="s">
        <v>282</v>
      </c>
      <c r="E155" s="5" t="s">
        <v>268</v>
      </c>
      <c r="F155" s="5" t="s">
        <v>341</v>
      </c>
      <c r="G155" s="5" t="s">
        <v>342</v>
      </c>
      <c r="H155" s="5" t="s">
        <v>343</v>
      </c>
      <c r="I155" s="5" t="s">
        <v>344</v>
      </c>
      <c r="J155" s="5" t="s">
        <v>345</v>
      </c>
      <c r="K155" s="5" t="s">
        <v>346</v>
      </c>
      <c r="L155" s="5">
        <v>7</v>
      </c>
      <c r="M155" s="5">
        <v>7</v>
      </c>
      <c r="N155" s="5" t="s">
        <v>347</v>
      </c>
      <c r="O155" s="5">
        <f t="shared" si="8"/>
        <v>100</v>
      </c>
      <c r="P155" s="5" t="s">
        <v>152</v>
      </c>
      <c r="Q155" s="5" t="s">
        <v>153</v>
      </c>
      <c r="R155" s="5">
        <v>85</v>
      </c>
      <c r="S155" s="5" t="str">
        <f t="shared" si="9"/>
        <v>Aprobado</v>
      </c>
      <c r="T155" s="5">
        <f t="shared" si="10"/>
        <v>100</v>
      </c>
      <c r="U155" s="5" t="str">
        <f t="shared" si="11"/>
        <v>Supera los requisitos</v>
      </c>
      <c r="V155" s="5" t="s">
        <v>516</v>
      </c>
      <c r="W155" s="5" t="s">
        <v>214</v>
      </c>
      <c r="X155" s="5"/>
      <c r="Y155" s="5" t="s">
        <v>355</v>
      </c>
      <c r="Z155" s="5"/>
    </row>
    <row r="156" spans="1:26" ht="90" x14ac:dyDescent="0.25">
      <c r="A156" s="5" t="s">
        <v>88</v>
      </c>
      <c r="B156" s="5" t="s">
        <v>81</v>
      </c>
      <c r="C156" s="5" t="s">
        <v>87</v>
      </c>
      <c r="D156" s="5" t="s">
        <v>282</v>
      </c>
      <c r="E156" s="5" t="s">
        <v>268</v>
      </c>
      <c r="F156" s="5" t="s">
        <v>351</v>
      </c>
      <c r="G156" s="5" t="s">
        <v>352</v>
      </c>
      <c r="H156" s="5" t="s">
        <v>353</v>
      </c>
      <c r="I156" s="5" t="s">
        <v>344</v>
      </c>
      <c r="J156" s="5" t="s">
        <v>345</v>
      </c>
      <c r="K156" s="5" t="s">
        <v>346</v>
      </c>
      <c r="L156" s="5">
        <v>7</v>
      </c>
      <c r="M156" s="5">
        <v>7</v>
      </c>
      <c r="N156" s="5" t="s">
        <v>347</v>
      </c>
      <c r="O156" s="5">
        <f t="shared" si="8"/>
        <v>100</v>
      </c>
      <c r="P156" s="5" t="s">
        <v>152</v>
      </c>
      <c r="Q156" s="5" t="s">
        <v>153</v>
      </c>
      <c r="R156" s="5">
        <v>85</v>
      </c>
      <c r="S156" s="5" t="str">
        <f t="shared" si="9"/>
        <v>Aprobado</v>
      </c>
      <c r="T156" s="5">
        <f t="shared" si="10"/>
        <v>100</v>
      </c>
      <c r="U156" s="5" t="str">
        <f t="shared" si="11"/>
        <v>Supera los requisitos</v>
      </c>
      <c r="V156" s="5" t="s">
        <v>519</v>
      </c>
      <c r="W156" s="5" t="s">
        <v>214</v>
      </c>
      <c r="X156" s="5"/>
      <c r="Y156" s="5" t="s">
        <v>355</v>
      </c>
      <c r="Z156" s="5"/>
    </row>
    <row r="157" spans="1:26" ht="90" x14ac:dyDescent="0.25">
      <c r="A157" s="5" t="s">
        <v>88</v>
      </c>
      <c r="B157" s="5" t="s">
        <v>81</v>
      </c>
      <c r="C157" s="5" t="s">
        <v>87</v>
      </c>
      <c r="D157" s="5" t="s">
        <v>282</v>
      </c>
      <c r="E157" s="5" t="s">
        <v>268</v>
      </c>
      <c r="F157" s="5" t="s">
        <v>356</v>
      </c>
      <c r="G157" s="5" t="s">
        <v>357</v>
      </c>
      <c r="H157" s="5" t="s">
        <v>358</v>
      </c>
      <c r="I157" s="5" t="s">
        <v>344</v>
      </c>
      <c r="J157" s="5" t="s">
        <v>345</v>
      </c>
      <c r="K157" s="5" t="s">
        <v>346</v>
      </c>
      <c r="L157" s="5">
        <v>7</v>
      </c>
      <c r="M157" s="5">
        <v>7</v>
      </c>
      <c r="N157" s="5" t="s">
        <v>347</v>
      </c>
      <c r="O157" s="5">
        <f t="shared" si="8"/>
        <v>100</v>
      </c>
      <c r="P157" s="5" t="s">
        <v>152</v>
      </c>
      <c r="Q157" s="5" t="s">
        <v>153</v>
      </c>
      <c r="R157" s="5">
        <v>85</v>
      </c>
      <c r="S157" s="5" t="str">
        <f t="shared" si="9"/>
        <v>Aprobado</v>
      </c>
      <c r="T157" s="5">
        <f t="shared" si="10"/>
        <v>100</v>
      </c>
      <c r="U157" s="5" t="str">
        <f t="shared" si="11"/>
        <v>Supera los requisitos</v>
      </c>
      <c r="V157" s="5" t="s">
        <v>522</v>
      </c>
      <c r="W157" s="5" t="s">
        <v>214</v>
      </c>
      <c r="X157" s="5"/>
      <c r="Y157" s="5" t="s">
        <v>355</v>
      </c>
      <c r="Z157" s="5"/>
    </row>
    <row r="158" spans="1:26" ht="90" x14ac:dyDescent="0.25">
      <c r="A158" s="5" t="s">
        <v>88</v>
      </c>
      <c r="B158" s="5" t="s">
        <v>81</v>
      </c>
      <c r="C158" s="5" t="s">
        <v>87</v>
      </c>
      <c r="D158" s="5" t="s">
        <v>282</v>
      </c>
      <c r="E158" s="5" t="s">
        <v>268</v>
      </c>
      <c r="F158" s="5" t="s">
        <v>360</v>
      </c>
      <c r="G158" s="5" t="s">
        <v>361</v>
      </c>
      <c r="H158" s="5" t="s">
        <v>362</v>
      </c>
      <c r="I158" s="5" t="s">
        <v>344</v>
      </c>
      <c r="J158" s="5" t="s">
        <v>345</v>
      </c>
      <c r="K158" s="5" t="s">
        <v>346</v>
      </c>
      <c r="L158" s="5">
        <v>7</v>
      </c>
      <c r="M158" s="5">
        <v>7</v>
      </c>
      <c r="N158" s="5" t="s">
        <v>347</v>
      </c>
      <c r="O158" s="5">
        <f t="shared" si="8"/>
        <v>100</v>
      </c>
      <c r="P158" s="5" t="s">
        <v>152</v>
      </c>
      <c r="Q158" s="5" t="s">
        <v>153</v>
      </c>
      <c r="R158" s="5">
        <v>85</v>
      </c>
      <c r="S158" s="5" t="str">
        <f t="shared" si="9"/>
        <v>Aprobado</v>
      </c>
      <c r="T158" s="5">
        <f t="shared" si="10"/>
        <v>100</v>
      </c>
      <c r="U158" s="5" t="str">
        <f t="shared" si="11"/>
        <v>Supera los requisitos</v>
      </c>
      <c r="V158" s="5" t="s">
        <v>523</v>
      </c>
      <c r="W158" s="5" t="s">
        <v>214</v>
      </c>
      <c r="X158" s="5"/>
      <c r="Y158" s="5" t="s">
        <v>355</v>
      </c>
      <c r="Z158" s="5"/>
    </row>
    <row r="159" spans="1:26" ht="90" x14ac:dyDescent="0.25">
      <c r="A159" s="5" t="s">
        <v>88</v>
      </c>
      <c r="B159" s="5" t="s">
        <v>81</v>
      </c>
      <c r="C159" s="5" t="s">
        <v>87</v>
      </c>
      <c r="D159" s="5" t="s">
        <v>282</v>
      </c>
      <c r="E159" s="5" t="s">
        <v>268</v>
      </c>
      <c r="F159" s="5" t="s">
        <v>364</v>
      </c>
      <c r="G159" s="5" t="s">
        <v>365</v>
      </c>
      <c r="H159" s="5" t="s">
        <v>366</v>
      </c>
      <c r="I159" s="5" t="s">
        <v>344</v>
      </c>
      <c r="J159" s="5" t="s">
        <v>345</v>
      </c>
      <c r="K159" s="5" t="s">
        <v>346</v>
      </c>
      <c r="L159" s="5">
        <v>7</v>
      </c>
      <c r="M159" s="5">
        <v>7</v>
      </c>
      <c r="N159" s="5" t="s">
        <v>347</v>
      </c>
      <c r="O159" s="5">
        <f t="shared" si="8"/>
        <v>100</v>
      </c>
      <c r="P159" s="5" t="s">
        <v>152</v>
      </c>
      <c r="Q159" s="5" t="s">
        <v>153</v>
      </c>
      <c r="R159" s="5">
        <v>85</v>
      </c>
      <c r="S159" s="5" t="str">
        <f t="shared" si="9"/>
        <v>Aprobado</v>
      </c>
      <c r="T159" s="5">
        <f t="shared" si="10"/>
        <v>100</v>
      </c>
      <c r="U159" s="5" t="str">
        <f t="shared" si="11"/>
        <v>Supera los requisitos</v>
      </c>
      <c r="V159" s="5" t="s">
        <v>524</v>
      </c>
      <c r="W159" s="5" t="s">
        <v>214</v>
      </c>
      <c r="X159" s="5"/>
      <c r="Y159" s="5" t="s">
        <v>355</v>
      </c>
      <c r="Z159" s="5"/>
    </row>
    <row r="160" spans="1:26" ht="90" x14ac:dyDescent="0.25">
      <c r="A160" s="5" t="s">
        <v>88</v>
      </c>
      <c r="B160" s="5" t="s">
        <v>81</v>
      </c>
      <c r="C160" s="5" t="s">
        <v>87</v>
      </c>
      <c r="D160" s="5" t="s">
        <v>282</v>
      </c>
      <c r="E160" s="5" t="s">
        <v>268</v>
      </c>
      <c r="F160" s="5" t="s">
        <v>368</v>
      </c>
      <c r="G160" s="5" t="s">
        <v>369</v>
      </c>
      <c r="H160" s="5" t="s">
        <v>370</v>
      </c>
      <c r="I160" s="5" t="s">
        <v>344</v>
      </c>
      <c r="J160" s="5" t="s">
        <v>345</v>
      </c>
      <c r="K160" s="5" t="s">
        <v>346</v>
      </c>
      <c r="L160" s="5">
        <v>7</v>
      </c>
      <c r="M160" s="5">
        <v>7</v>
      </c>
      <c r="N160" s="5" t="s">
        <v>347</v>
      </c>
      <c r="O160" s="5">
        <f t="shared" si="8"/>
        <v>100</v>
      </c>
      <c r="P160" s="5" t="s">
        <v>152</v>
      </c>
      <c r="Q160" s="5" t="s">
        <v>153</v>
      </c>
      <c r="R160" s="5">
        <v>85</v>
      </c>
      <c r="S160" s="5" t="str">
        <f t="shared" si="9"/>
        <v>Aprobado</v>
      </c>
      <c r="T160" s="5">
        <f t="shared" si="10"/>
        <v>100</v>
      </c>
      <c r="U160" s="5" t="str">
        <f t="shared" si="11"/>
        <v>Supera los requisitos</v>
      </c>
      <c r="V160" s="5" t="s">
        <v>525</v>
      </c>
      <c r="W160" s="5" t="s">
        <v>214</v>
      </c>
      <c r="X160" s="5"/>
      <c r="Y160" s="5" t="s">
        <v>355</v>
      </c>
      <c r="Z160" s="5"/>
    </row>
    <row r="161" spans="1:26" ht="90" x14ac:dyDescent="0.25">
      <c r="A161" s="5" t="s">
        <v>88</v>
      </c>
      <c r="B161" s="5" t="s">
        <v>81</v>
      </c>
      <c r="C161" s="5" t="s">
        <v>87</v>
      </c>
      <c r="D161" s="5" t="s">
        <v>282</v>
      </c>
      <c r="E161" s="5" t="s">
        <v>268</v>
      </c>
      <c r="F161" s="5" t="s">
        <v>372</v>
      </c>
      <c r="G161" s="5" t="s">
        <v>373</v>
      </c>
      <c r="H161" s="5" t="s">
        <v>374</v>
      </c>
      <c r="I161" s="5" t="s">
        <v>344</v>
      </c>
      <c r="J161" s="5" t="s">
        <v>345</v>
      </c>
      <c r="K161" s="5" t="s">
        <v>346</v>
      </c>
      <c r="L161" s="5">
        <v>7</v>
      </c>
      <c r="M161" s="5">
        <v>7</v>
      </c>
      <c r="N161" s="5" t="s">
        <v>347</v>
      </c>
      <c r="O161" s="5">
        <f t="shared" si="8"/>
        <v>100</v>
      </c>
      <c r="P161" s="5" t="s">
        <v>152</v>
      </c>
      <c r="Q161" s="5" t="s">
        <v>153</v>
      </c>
      <c r="R161" s="5">
        <v>85</v>
      </c>
      <c r="S161" s="5" t="str">
        <f t="shared" si="9"/>
        <v>Aprobado</v>
      </c>
      <c r="T161" s="5">
        <f t="shared" si="10"/>
        <v>100</v>
      </c>
      <c r="U161" s="5" t="str">
        <f t="shared" si="11"/>
        <v>Supera los requisitos</v>
      </c>
      <c r="V161" s="5" t="s">
        <v>526</v>
      </c>
      <c r="W161" s="5" t="s">
        <v>214</v>
      </c>
      <c r="X161" s="5"/>
      <c r="Y161" s="5" t="s">
        <v>355</v>
      </c>
      <c r="Z161" s="5"/>
    </row>
    <row r="162" spans="1:26" ht="90" x14ac:dyDescent="0.25">
      <c r="A162" s="5" t="s">
        <v>88</v>
      </c>
      <c r="B162" s="5" t="s">
        <v>81</v>
      </c>
      <c r="C162" s="5" t="s">
        <v>87</v>
      </c>
      <c r="D162" s="5" t="s">
        <v>282</v>
      </c>
      <c r="E162" s="5" t="s">
        <v>268</v>
      </c>
      <c r="F162" s="5" t="s">
        <v>378</v>
      </c>
      <c r="G162" s="5" t="s">
        <v>379</v>
      </c>
      <c r="H162" s="5" t="s">
        <v>380</v>
      </c>
      <c r="I162" s="5" t="s">
        <v>344</v>
      </c>
      <c r="J162" s="5" t="s">
        <v>345</v>
      </c>
      <c r="K162" s="5" t="s">
        <v>346</v>
      </c>
      <c r="L162" s="5">
        <v>7</v>
      </c>
      <c r="M162" s="5">
        <v>7</v>
      </c>
      <c r="N162" s="5" t="s">
        <v>347</v>
      </c>
      <c r="O162" s="5">
        <f t="shared" si="8"/>
        <v>100</v>
      </c>
      <c r="P162" s="5" t="s">
        <v>152</v>
      </c>
      <c r="Q162" s="5" t="s">
        <v>153</v>
      </c>
      <c r="R162" s="5">
        <v>85</v>
      </c>
      <c r="S162" s="5" t="str">
        <f t="shared" si="9"/>
        <v>Aprobado</v>
      </c>
      <c r="T162" s="5">
        <f t="shared" si="10"/>
        <v>100</v>
      </c>
      <c r="U162" s="5" t="str">
        <f t="shared" si="11"/>
        <v>Supera los requisitos</v>
      </c>
      <c r="V162" s="5" t="s">
        <v>527</v>
      </c>
      <c r="W162" s="5" t="s">
        <v>214</v>
      </c>
      <c r="X162" s="5"/>
      <c r="Y162" s="5" t="s">
        <v>355</v>
      </c>
      <c r="Z162" s="5"/>
    </row>
    <row r="163" spans="1:26" ht="90" x14ac:dyDescent="0.25">
      <c r="A163" s="5" t="s">
        <v>88</v>
      </c>
      <c r="B163" s="5" t="s">
        <v>81</v>
      </c>
      <c r="C163" s="5" t="s">
        <v>87</v>
      </c>
      <c r="D163" s="5" t="s">
        <v>282</v>
      </c>
      <c r="E163" s="5" t="s">
        <v>268</v>
      </c>
      <c r="F163" s="5" t="s">
        <v>384</v>
      </c>
      <c r="G163" s="5" t="s">
        <v>385</v>
      </c>
      <c r="H163" s="5" t="s">
        <v>386</v>
      </c>
      <c r="I163" s="5" t="s">
        <v>344</v>
      </c>
      <c r="J163" s="5" t="s">
        <v>345</v>
      </c>
      <c r="K163" s="5" t="s">
        <v>346</v>
      </c>
      <c r="L163" s="5">
        <v>7</v>
      </c>
      <c r="M163" s="5">
        <v>7</v>
      </c>
      <c r="N163" s="5" t="s">
        <v>347</v>
      </c>
      <c r="O163" s="5">
        <f t="shared" si="8"/>
        <v>100</v>
      </c>
      <c r="P163" s="5" t="s">
        <v>152</v>
      </c>
      <c r="Q163" s="5" t="s">
        <v>153</v>
      </c>
      <c r="R163" s="5">
        <v>85</v>
      </c>
      <c r="S163" s="5" t="str">
        <f t="shared" si="9"/>
        <v>Aprobado</v>
      </c>
      <c r="T163" s="5">
        <f t="shared" si="10"/>
        <v>100</v>
      </c>
      <c r="U163" s="5" t="str">
        <f t="shared" si="11"/>
        <v>Supera los requisitos</v>
      </c>
      <c r="V163" s="5" t="s">
        <v>528</v>
      </c>
      <c r="W163" s="5" t="s">
        <v>214</v>
      </c>
      <c r="X163" s="5"/>
      <c r="Y163" s="5" t="s">
        <v>355</v>
      </c>
      <c r="Z163" s="5"/>
    </row>
    <row r="164" spans="1:26" ht="90" x14ac:dyDescent="0.25">
      <c r="A164" s="5" t="s">
        <v>99</v>
      </c>
      <c r="B164" s="5" t="s">
        <v>96</v>
      </c>
      <c r="C164" s="5" t="s">
        <v>98</v>
      </c>
      <c r="D164" s="5" t="s">
        <v>288</v>
      </c>
      <c r="E164" s="5" t="s">
        <v>289</v>
      </c>
      <c r="F164" s="5" t="s">
        <v>341</v>
      </c>
      <c r="G164" s="5" t="s">
        <v>342</v>
      </c>
      <c r="H164" s="5" t="s">
        <v>343</v>
      </c>
      <c r="I164" s="5" t="s">
        <v>344</v>
      </c>
      <c r="J164" s="5" t="s">
        <v>345</v>
      </c>
      <c r="K164" s="5" t="s">
        <v>346</v>
      </c>
      <c r="L164" s="5">
        <v>275</v>
      </c>
      <c r="M164" s="5">
        <v>280</v>
      </c>
      <c r="N164" s="5" t="s">
        <v>347</v>
      </c>
      <c r="O164" s="5">
        <f t="shared" si="8"/>
        <v>98.21</v>
      </c>
      <c r="P164" s="5" t="s">
        <v>152</v>
      </c>
      <c r="Q164" s="5" t="s">
        <v>153</v>
      </c>
      <c r="R164" s="5">
        <v>90</v>
      </c>
      <c r="S164" s="5" t="str">
        <f t="shared" si="9"/>
        <v>Aprobado</v>
      </c>
      <c r="T164" s="5">
        <f t="shared" si="10"/>
        <v>98.21</v>
      </c>
      <c r="U164" s="5" t="str">
        <f t="shared" si="11"/>
        <v>Supera los requisitos</v>
      </c>
      <c r="V164" s="5" t="s">
        <v>531</v>
      </c>
      <c r="W164" s="5" t="s">
        <v>157</v>
      </c>
      <c r="X164" s="5" t="s">
        <v>532</v>
      </c>
      <c r="Y164" s="5" t="s">
        <v>533</v>
      </c>
      <c r="Z164" s="5"/>
    </row>
    <row r="165" spans="1:26" ht="90" x14ac:dyDescent="0.25">
      <c r="A165" s="5" t="s">
        <v>99</v>
      </c>
      <c r="B165" s="5" t="s">
        <v>96</v>
      </c>
      <c r="C165" s="5" t="s">
        <v>98</v>
      </c>
      <c r="D165" s="5" t="s">
        <v>288</v>
      </c>
      <c r="E165" s="5" t="s">
        <v>289</v>
      </c>
      <c r="F165" s="5" t="s">
        <v>351</v>
      </c>
      <c r="G165" s="5" t="s">
        <v>352</v>
      </c>
      <c r="H165" s="5" t="s">
        <v>353</v>
      </c>
      <c r="I165" s="5" t="s">
        <v>344</v>
      </c>
      <c r="J165" s="5" t="s">
        <v>345</v>
      </c>
      <c r="K165" s="5" t="s">
        <v>346</v>
      </c>
      <c r="L165" s="5">
        <v>288</v>
      </c>
      <c r="M165" s="5">
        <v>291</v>
      </c>
      <c r="N165" s="5" t="s">
        <v>347</v>
      </c>
      <c r="O165" s="5">
        <f t="shared" si="8"/>
        <v>98.97</v>
      </c>
      <c r="P165" s="5" t="s">
        <v>152</v>
      </c>
      <c r="Q165" s="5" t="s">
        <v>153</v>
      </c>
      <c r="R165" s="5">
        <v>90</v>
      </c>
      <c r="S165" s="5" t="str">
        <f t="shared" si="9"/>
        <v>Aprobado</v>
      </c>
      <c r="T165" s="5">
        <f t="shared" si="10"/>
        <v>98.97</v>
      </c>
      <c r="U165" s="5" t="str">
        <f t="shared" si="11"/>
        <v>Supera los requisitos</v>
      </c>
      <c r="V165" s="5" t="s">
        <v>534</v>
      </c>
      <c r="W165" s="5" t="s">
        <v>157</v>
      </c>
      <c r="X165" s="5"/>
      <c r="Y165" s="5" t="s">
        <v>355</v>
      </c>
      <c r="Z165" s="5"/>
    </row>
    <row r="166" spans="1:26" ht="90" x14ac:dyDescent="0.25">
      <c r="A166" s="5" t="s">
        <v>99</v>
      </c>
      <c r="B166" s="5" t="s">
        <v>96</v>
      </c>
      <c r="C166" s="5" t="s">
        <v>98</v>
      </c>
      <c r="D166" s="5" t="s">
        <v>288</v>
      </c>
      <c r="E166" s="5" t="s">
        <v>289</v>
      </c>
      <c r="F166" s="5" t="s">
        <v>356</v>
      </c>
      <c r="G166" s="5" t="s">
        <v>357</v>
      </c>
      <c r="H166" s="5" t="s">
        <v>358</v>
      </c>
      <c r="I166" s="5" t="s">
        <v>344</v>
      </c>
      <c r="J166" s="5" t="s">
        <v>345</v>
      </c>
      <c r="K166" s="5" t="s">
        <v>346</v>
      </c>
      <c r="L166" s="5">
        <v>288</v>
      </c>
      <c r="M166" s="5">
        <v>291</v>
      </c>
      <c r="N166" s="5" t="s">
        <v>347</v>
      </c>
      <c r="O166" s="5">
        <f t="shared" si="8"/>
        <v>98.97</v>
      </c>
      <c r="P166" s="5" t="s">
        <v>152</v>
      </c>
      <c r="Q166" s="5" t="s">
        <v>153</v>
      </c>
      <c r="R166" s="5">
        <v>90</v>
      </c>
      <c r="S166" s="5" t="str">
        <f t="shared" si="9"/>
        <v>Aprobado</v>
      </c>
      <c r="T166" s="5">
        <f t="shared" si="10"/>
        <v>98.97</v>
      </c>
      <c r="U166" s="5" t="str">
        <f t="shared" si="11"/>
        <v>Supera los requisitos</v>
      </c>
      <c r="V166" s="5" t="s">
        <v>535</v>
      </c>
      <c r="W166" s="5" t="s">
        <v>157</v>
      </c>
      <c r="X166" s="5"/>
      <c r="Y166" s="5" t="s">
        <v>355</v>
      </c>
      <c r="Z166" s="5"/>
    </row>
    <row r="167" spans="1:26" ht="90" x14ac:dyDescent="0.25">
      <c r="A167" s="5" t="s">
        <v>99</v>
      </c>
      <c r="B167" s="5" t="s">
        <v>96</v>
      </c>
      <c r="C167" s="5" t="s">
        <v>98</v>
      </c>
      <c r="D167" s="5" t="s">
        <v>288</v>
      </c>
      <c r="E167" s="5" t="s">
        <v>289</v>
      </c>
      <c r="F167" s="5" t="s">
        <v>360</v>
      </c>
      <c r="G167" s="5" t="s">
        <v>361</v>
      </c>
      <c r="H167" s="5" t="s">
        <v>362</v>
      </c>
      <c r="I167" s="5" t="s">
        <v>344</v>
      </c>
      <c r="J167" s="5" t="s">
        <v>345</v>
      </c>
      <c r="K167" s="5" t="s">
        <v>346</v>
      </c>
      <c r="L167" s="5">
        <v>289</v>
      </c>
      <c r="M167" s="5">
        <v>292</v>
      </c>
      <c r="N167" s="5" t="s">
        <v>347</v>
      </c>
      <c r="O167" s="5">
        <f t="shared" si="8"/>
        <v>98.97</v>
      </c>
      <c r="P167" s="5" t="s">
        <v>152</v>
      </c>
      <c r="Q167" s="5" t="s">
        <v>153</v>
      </c>
      <c r="R167" s="5">
        <v>90</v>
      </c>
      <c r="S167" s="5" t="str">
        <f t="shared" si="9"/>
        <v>Aprobado</v>
      </c>
      <c r="T167" s="5">
        <f t="shared" si="10"/>
        <v>98.97</v>
      </c>
      <c r="U167" s="5" t="str">
        <f t="shared" si="11"/>
        <v>Supera los requisitos</v>
      </c>
      <c r="V167" s="5" t="s">
        <v>536</v>
      </c>
      <c r="W167" s="5" t="s">
        <v>157</v>
      </c>
      <c r="X167" s="5"/>
      <c r="Y167" s="5" t="s">
        <v>355</v>
      </c>
      <c r="Z167" s="5"/>
    </row>
    <row r="168" spans="1:26" ht="90" x14ac:dyDescent="0.25">
      <c r="A168" s="5" t="s">
        <v>99</v>
      </c>
      <c r="B168" s="5" t="s">
        <v>96</v>
      </c>
      <c r="C168" s="5" t="s">
        <v>98</v>
      </c>
      <c r="D168" s="5" t="s">
        <v>288</v>
      </c>
      <c r="E168" s="5" t="s">
        <v>289</v>
      </c>
      <c r="F168" s="5" t="s">
        <v>364</v>
      </c>
      <c r="G168" s="5" t="s">
        <v>365</v>
      </c>
      <c r="H168" s="5" t="s">
        <v>366</v>
      </c>
      <c r="I168" s="5" t="s">
        <v>344</v>
      </c>
      <c r="J168" s="5" t="s">
        <v>345</v>
      </c>
      <c r="K168" s="5" t="s">
        <v>346</v>
      </c>
      <c r="L168" s="5">
        <v>295</v>
      </c>
      <c r="M168" s="5">
        <v>298</v>
      </c>
      <c r="N168" s="5" t="s">
        <v>347</v>
      </c>
      <c r="O168" s="5">
        <f t="shared" si="8"/>
        <v>98.99</v>
      </c>
      <c r="P168" s="5" t="s">
        <v>152</v>
      </c>
      <c r="Q168" s="5" t="s">
        <v>153</v>
      </c>
      <c r="R168" s="5">
        <v>90</v>
      </c>
      <c r="S168" s="5" t="str">
        <f t="shared" si="9"/>
        <v>Aprobado</v>
      </c>
      <c r="T168" s="5">
        <f t="shared" si="10"/>
        <v>98.99</v>
      </c>
      <c r="U168" s="5" t="str">
        <f t="shared" si="11"/>
        <v>Supera los requisitos</v>
      </c>
      <c r="V168" s="5" t="s">
        <v>537</v>
      </c>
      <c r="W168" s="5" t="s">
        <v>157</v>
      </c>
      <c r="X168" s="5"/>
      <c r="Y168" s="5" t="s">
        <v>355</v>
      </c>
      <c r="Z168" s="5"/>
    </row>
    <row r="169" spans="1:26" ht="90" x14ac:dyDescent="0.25">
      <c r="A169" s="5" t="s">
        <v>99</v>
      </c>
      <c r="B169" s="5" t="s">
        <v>96</v>
      </c>
      <c r="C169" s="5" t="s">
        <v>98</v>
      </c>
      <c r="D169" s="5" t="s">
        <v>288</v>
      </c>
      <c r="E169" s="5" t="s">
        <v>289</v>
      </c>
      <c r="F169" s="5" t="s">
        <v>368</v>
      </c>
      <c r="G169" s="5" t="s">
        <v>369</v>
      </c>
      <c r="H169" s="5" t="s">
        <v>370</v>
      </c>
      <c r="I169" s="5" t="s">
        <v>344</v>
      </c>
      <c r="J169" s="5" t="s">
        <v>345</v>
      </c>
      <c r="K169" s="5" t="s">
        <v>346</v>
      </c>
      <c r="L169" s="5">
        <v>295</v>
      </c>
      <c r="M169" s="5">
        <v>298</v>
      </c>
      <c r="N169" s="5" t="s">
        <v>347</v>
      </c>
      <c r="O169" s="5">
        <f t="shared" si="8"/>
        <v>98.99</v>
      </c>
      <c r="P169" s="5" t="s">
        <v>152</v>
      </c>
      <c r="Q169" s="5" t="s">
        <v>153</v>
      </c>
      <c r="R169" s="5">
        <v>90</v>
      </c>
      <c r="S169" s="5" t="str">
        <f t="shared" si="9"/>
        <v>Aprobado</v>
      </c>
      <c r="T169" s="5">
        <f t="shared" si="10"/>
        <v>98.99</v>
      </c>
      <c r="U169" s="5" t="str">
        <f t="shared" si="11"/>
        <v>Supera los requisitos</v>
      </c>
      <c r="V169" s="5" t="s">
        <v>538</v>
      </c>
      <c r="W169" s="5" t="s">
        <v>157</v>
      </c>
      <c r="X169" s="5"/>
      <c r="Y169" s="5" t="s">
        <v>355</v>
      </c>
      <c r="Z169" s="5"/>
    </row>
    <row r="170" spans="1:26" ht="90" x14ac:dyDescent="0.25">
      <c r="A170" s="5" t="s">
        <v>99</v>
      </c>
      <c r="B170" s="5" t="s">
        <v>96</v>
      </c>
      <c r="C170" s="5" t="s">
        <v>98</v>
      </c>
      <c r="D170" s="5" t="s">
        <v>288</v>
      </c>
      <c r="E170" s="5" t="s">
        <v>289</v>
      </c>
      <c r="F170" s="5" t="s">
        <v>372</v>
      </c>
      <c r="G170" s="5" t="s">
        <v>373</v>
      </c>
      <c r="H170" s="5" t="s">
        <v>374</v>
      </c>
      <c r="I170" s="5" t="s">
        <v>344</v>
      </c>
      <c r="J170" s="5" t="s">
        <v>345</v>
      </c>
      <c r="K170" s="5" t="s">
        <v>346</v>
      </c>
      <c r="L170" s="5">
        <v>304</v>
      </c>
      <c r="M170" s="5">
        <v>307</v>
      </c>
      <c r="N170" s="5" t="s">
        <v>347</v>
      </c>
      <c r="O170" s="5">
        <f t="shared" si="8"/>
        <v>99.02</v>
      </c>
      <c r="P170" s="5" t="s">
        <v>152</v>
      </c>
      <c r="Q170" s="5" t="s">
        <v>153</v>
      </c>
      <c r="R170" s="5">
        <v>90</v>
      </c>
      <c r="S170" s="5" t="str">
        <f t="shared" si="9"/>
        <v>Aprobado</v>
      </c>
      <c r="T170" s="5">
        <f t="shared" si="10"/>
        <v>99.02</v>
      </c>
      <c r="U170" s="5" t="str">
        <f t="shared" si="11"/>
        <v>Supera los requisitos</v>
      </c>
      <c r="V170" s="5" t="s">
        <v>539</v>
      </c>
      <c r="W170" s="5" t="s">
        <v>157</v>
      </c>
      <c r="X170" s="5"/>
      <c r="Y170" s="5" t="s">
        <v>355</v>
      </c>
      <c r="Z170" s="5"/>
    </row>
    <row r="171" spans="1:26" ht="90" x14ac:dyDescent="0.25">
      <c r="A171" s="5" t="s">
        <v>99</v>
      </c>
      <c r="B171" s="5" t="s">
        <v>96</v>
      </c>
      <c r="C171" s="5" t="s">
        <v>98</v>
      </c>
      <c r="D171" s="5" t="s">
        <v>288</v>
      </c>
      <c r="E171" s="5" t="s">
        <v>289</v>
      </c>
      <c r="F171" s="5" t="s">
        <v>378</v>
      </c>
      <c r="G171" s="5" t="s">
        <v>379</v>
      </c>
      <c r="H171" s="5" t="s">
        <v>380</v>
      </c>
      <c r="I171" s="5" t="s">
        <v>344</v>
      </c>
      <c r="J171" s="5" t="s">
        <v>345</v>
      </c>
      <c r="K171" s="5" t="s">
        <v>346</v>
      </c>
      <c r="L171" s="5">
        <v>304</v>
      </c>
      <c r="M171" s="5">
        <v>307</v>
      </c>
      <c r="N171" s="5" t="s">
        <v>347</v>
      </c>
      <c r="O171" s="5">
        <f t="shared" si="8"/>
        <v>99.02</v>
      </c>
      <c r="P171" s="5" t="s">
        <v>152</v>
      </c>
      <c r="Q171" s="5" t="s">
        <v>153</v>
      </c>
      <c r="R171" s="5">
        <v>90</v>
      </c>
      <c r="S171" s="5" t="str">
        <f t="shared" si="9"/>
        <v>Aprobado</v>
      </c>
      <c r="T171" s="5">
        <f t="shared" si="10"/>
        <v>99.02</v>
      </c>
      <c r="U171" s="5" t="str">
        <f t="shared" si="11"/>
        <v>Supera los requisitos</v>
      </c>
      <c r="V171" s="5" t="s">
        <v>540</v>
      </c>
      <c r="W171" s="5" t="s">
        <v>157</v>
      </c>
      <c r="X171" s="5"/>
      <c r="Y171" s="5" t="s">
        <v>355</v>
      </c>
      <c r="Z171" s="5"/>
    </row>
    <row r="172" spans="1:26" ht="90" x14ac:dyDescent="0.25">
      <c r="A172" s="5" t="s">
        <v>99</v>
      </c>
      <c r="B172" s="5" t="s">
        <v>96</v>
      </c>
      <c r="C172" s="5" t="s">
        <v>98</v>
      </c>
      <c r="D172" s="5" t="s">
        <v>288</v>
      </c>
      <c r="E172" s="5" t="s">
        <v>289</v>
      </c>
      <c r="F172" s="5" t="s">
        <v>384</v>
      </c>
      <c r="G172" s="5" t="s">
        <v>385</v>
      </c>
      <c r="H172" s="5" t="s">
        <v>386</v>
      </c>
      <c r="I172" s="5" t="s">
        <v>344</v>
      </c>
      <c r="J172" s="5" t="s">
        <v>345</v>
      </c>
      <c r="K172" s="5" t="s">
        <v>346</v>
      </c>
      <c r="L172" s="5">
        <v>304</v>
      </c>
      <c r="M172" s="5">
        <v>307</v>
      </c>
      <c r="N172" s="5" t="s">
        <v>347</v>
      </c>
      <c r="O172" s="5">
        <f t="shared" si="8"/>
        <v>99.02</v>
      </c>
      <c r="P172" s="5" t="s">
        <v>152</v>
      </c>
      <c r="Q172" s="5" t="s">
        <v>153</v>
      </c>
      <c r="R172" s="5">
        <v>90</v>
      </c>
      <c r="S172" s="5" t="str">
        <f t="shared" si="9"/>
        <v>Aprobado</v>
      </c>
      <c r="T172" s="5">
        <f t="shared" si="10"/>
        <v>99.02</v>
      </c>
      <c r="U172" s="5" t="str">
        <f t="shared" si="11"/>
        <v>Supera los requisitos</v>
      </c>
      <c r="V172" s="5" t="s">
        <v>541</v>
      </c>
      <c r="W172" s="5" t="s">
        <v>157</v>
      </c>
      <c r="X172" s="5"/>
      <c r="Y172" s="5" t="s">
        <v>355</v>
      </c>
      <c r="Z172" s="5"/>
    </row>
    <row r="173" spans="1:26" ht="90" x14ac:dyDescent="0.25">
      <c r="A173" s="5" t="s">
        <v>101</v>
      </c>
      <c r="B173" s="5" t="s">
        <v>96</v>
      </c>
      <c r="C173" s="5" t="s">
        <v>100</v>
      </c>
      <c r="D173" s="5" t="s">
        <v>288</v>
      </c>
      <c r="E173" s="5" t="s">
        <v>289</v>
      </c>
      <c r="F173" s="5" t="s">
        <v>341</v>
      </c>
      <c r="G173" s="5" t="s">
        <v>342</v>
      </c>
      <c r="H173" s="5" t="s">
        <v>343</v>
      </c>
      <c r="I173" s="5" t="s">
        <v>344</v>
      </c>
      <c r="J173" s="5" t="s">
        <v>345</v>
      </c>
      <c r="K173" s="5" t="s">
        <v>408</v>
      </c>
      <c r="L173" s="5">
        <v>3.01</v>
      </c>
      <c r="M173" s="5"/>
      <c r="N173" s="5" t="s">
        <v>180</v>
      </c>
      <c r="O173" s="5">
        <f t="shared" si="8"/>
        <v>3.01</v>
      </c>
      <c r="P173" s="5" t="s">
        <v>295</v>
      </c>
      <c r="Q173" s="5" t="s">
        <v>182</v>
      </c>
      <c r="R173" s="5">
        <v>2</v>
      </c>
      <c r="S173" s="5" t="str">
        <f t="shared" si="9"/>
        <v>Rechazado</v>
      </c>
      <c r="T173" s="5">
        <f t="shared" si="10"/>
        <v>66.45</v>
      </c>
      <c r="U173" s="5" t="str">
        <f t="shared" si="11"/>
        <v>Rango objetivo</v>
      </c>
      <c r="V173" s="5" t="s">
        <v>531</v>
      </c>
      <c r="W173" s="5" t="s">
        <v>157</v>
      </c>
      <c r="X173" s="5" t="s">
        <v>542</v>
      </c>
      <c r="Y173" s="5" t="s">
        <v>543</v>
      </c>
      <c r="Z173" s="5"/>
    </row>
    <row r="174" spans="1:26" ht="90" x14ac:dyDescent="0.25">
      <c r="A174" s="5" t="s">
        <v>101</v>
      </c>
      <c r="B174" s="5" t="s">
        <v>96</v>
      </c>
      <c r="C174" s="5" t="s">
        <v>100</v>
      </c>
      <c r="D174" s="5" t="s">
        <v>288</v>
      </c>
      <c r="E174" s="5" t="s">
        <v>289</v>
      </c>
      <c r="F174" s="5" t="s">
        <v>351</v>
      </c>
      <c r="G174" s="5" t="s">
        <v>352</v>
      </c>
      <c r="H174" s="5" t="s">
        <v>353</v>
      </c>
      <c r="I174" s="5" t="s">
        <v>344</v>
      </c>
      <c r="J174" s="5" t="s">
        <v>345</v>
      </c>
      <c r="K174" s="5" t="s">
        <v>408</v>
      </c>
      <c r="L174" s="5">
        <v>0</v>
      </c>
      <c r="M174" s="5"/>
      <c r="N174" s="5" t="s">
        <v>180</v>
      </c>
      <c r="O174" s="5">
        <f t="shared" si="8"/>
        <v>0</v>
      </c>
      <c r="P174" s="5" t="s">
        <v>295</v>
      </c>
      <c r="Q174" s="5" t="s">
        <v>182</v>
      </c>
      <c r="R174" s="5">
        <v>2</v>
      </c>
      <c r="S174" s="5" t="str">
        <f t="shared" si="9"/>
        <v>Aprobado</v>
      </c>
      <c r="T174" s="5">
        <f t="shared" si="10"/>
        <v>100</v>
      </c>
      <c r="U174" s="5" t="str">
        <f t="shared" si="11"/>
        <v>Supera los requisitos</v>
      </c>
      <c r="V174" s="5" t="s">
        <v>534</v>
      </c>
      <c r="W174" s="5" t="s">
        <v>157</v>
      </c>
      <c r="X174" s="5"/>
      <c r="Y174" s="5" t="s">
        <v>355</v>
      </c>
      <c r="Z174" s="5"/>
    </row>
    <row r="175" spans="1:26" ht="90" x14ac:dyDescent="0.25">
      <c r="A175" s="5" t="s">
        <v>101</v>
      </c>
      <c r="B175" s="5" t="s">
        <v>96</v>
      </c>
      <c r="C175" s="5" t="s">
        <v>100</v>
      </c>
      <c r="D175" s="5" t="s">
        <v>288</v>
      </c>
      <c r="E175" s="5" t="s">
        <v>289</v>
      </c>
      <c r="F175" s="5" t="s">
        <v>356</v>
      </c>
      <c r="G175" s="5" t="s">
        <v>357</v>
      </c>
      <c r="H175" s="5" t="s">
        <v>358</v>
      </c>
      <c r="I175" s="5" t="s">
        <v>344</v>
      </c>
      <c r="J175" s="5" t="s">
        <v>345</v>
      </c>
      <c r="K175" s="5" t="s">
        <v>408</v>
      </c>
      <c r="L175" s="5">
        <v>0</v>
      </c>
      <c r="M175" s="5"/>
      <c r="N175" s="5" t="s">
        <v>180</v>
      </c>
      <c r="O175" s="5">
        <f t="shared" si="8"/>
        <v>0</v>
      </c>
      <c r="P175" s="5" t="s">
        <v>295</v>
      </c>
      <c r="Q175" s="5" t="s">
        <v>182</v>
      </c>
      <c r="R175" s="5">
        <v>2</v>
      </c>
      <c r="S175" s="5" t="str">
        <f t="shared" si="9"/>
        <v>Aprobado</v>
      </c>
      <c r="T175" s="5">
        <f t="shared" si="10"/>
        <v>100</v>
      </c>
      <c r="U175" s="5" t="str">
        <f t="shared" si="11"/>
        <v>Supera los requisitos</v>
      </c>
      <c r="V175" s="5" t="s">
        <v>535</v>
      </c>
      <c r="W175" s="5" t="s">
        <v>157</v>
      </c>
      <c r="X175" s="5"/>
      <c r="Y175" s="5" t="s">
        <v>355</v>
      </c>
      <c r="Z175" s="5"/>
    </row>
    <row r="176" spans="1:26" ht="90" x14ac:dyDescent="0.25">
      <c r="A176" s="5" t="s">
        <v>101</v>
      </c>
      <c r="B176" s="5" t="s">
        <v>96</v>
      </c>
      <c r="C176" s="5" t="s">
        <v>100</v>
      </c>
      <c r="D176" s="5" t="s">
        <v>288</v>
      </c>
      <c r="E176" s="5" t="s">
        <v>289</v>
      </c>
      <c r="F176" s="5" t="s">
        <v>360</v>
      </c>
      <c r="G176" s="5" t="s">
        <v>361</v>
      </c>
      <c r="H176" s="5" t="s">
        <v>362</v>
      </c>
      <c r="I176" s="5" t="s">
        <v>344</v>
      </c>
      <c r="J176" s="5" t="s">
        <v>345</v>
      </c>
      <c r="K176" s="5" t="s">
        <v>408</v>
      </c>
      <c r="L176" s="5">
        <v>0</v>
      </c>
      <c r="M176" s="5"/>
      <c r="N176" s="5" t="s">
        <v>180</v>
      </c>
      <c r="O176" s="5">
        <f t="shared" si="8"/>
        <v>0</v>
      </c>
      <c r="P176" s="5" t="s">
        <v>295</v>
      </c>
      <c r="Q176" s="5" t="s">
        <v>182</v>
      </c>
      <c r="R176" s="5">
        <v>2</v>
      </c>
      <c r="S176" s="5" t="str">
        <f t="shared" si="9"/>
        <v>Aprobado</v>
      </c>
      <c r="T176" s="5">
        <f t="shared" si="10"/>
        <v>100</v>
      </c>
      <c r="U176" s="5" t="str">
        <f t="shared" si="11"/>
        <v>Supera los requisitos</v>
      </c>
      <c r="V176" s="5" t="s">
        <v>536</v>
      </c>
      <c r="W176" s="5" t="s">
        <v>157</v>
      </c>
      <c r="X176" s="5"/>
      <c r="Y176" s="5" t="s">
        <v>355</v>
      </c>
      <c r="Z176" s="5"/>
    </row>
    <row r="177" spans="1:26" ht="90" x14ac:dyDescent="0.25">
      <c r="A177" s="5" t="s">
        <v>101</v>
      </c>
      <c r="B177" s="5" t="s">
        <v>96</v>
      </c>
      <c r="C177" s="5" t="s">
        <v>100</v>
      </c>
      <c r="D177" s="5" t="s">
        <v>288</v>
      </c>
      <c r="E177" s="5" t="s">
        <v>289</v>
      </c>
      <c r="F177" s="5" t="s">
        <v>364</v>
      </c>
      <c r="G177" s="5" t="s">
        <v>365</v>
      </c>
      <c r="H177" s="5" t="s">
        <v>366</v>
      </c>
      <c r="I177" s="5" t="s">
        <v>344</v>
      </c>
      <c r="J177" s="5" t="s">
        <v>345</v>
      </c>
      <c r="K177" s="5" t="s">
        <v>408</v>
      </c>
      <c r="L177" s="5">
        <v>0</v>
      </c>
      <c r="M177" s="5"/>
      <c r="N177" s="5" t="s">
        <v>180</v>
      </c>
      <c r="O177" s="5">
        <f t="shared" si="8"/>
        <v>0</v>
      </c>
      <c r="P177" s="5" t="s">
        <v>295</v>
      </c>
      <c r="Q177" s="5" t="s">
        <v>182</v>
      </c>
      <c r="R177" s="5">
        <v>2</v>
      </c>
      <c r="S177" s="5" t="str">
        <f t="shared" si="9"/>
        <v>Aprobado</v>
      </c>
      <c r="T177" s="5">
        <f t="shared" si="10"/>
        <v>100</v>
      </c>
      <c r="U177" s="5" t="str">
        <f t="shared" si="11"/>
        <v>Supera los requisitos</v>
      </c>
      <c r="V177" s="5" t="s">
        <v>537</v>
      </c>
      <c r="W177" s="5" t="s">
        <v>157</v>
      </c>
      <c r="X177" s="5"/>
      <c r="Y177" s="5" t="s">
        <v>355</v>
      </c>
      <c r="Z177" s="5"/>
    </row>
    <row r="178" spans="1:26" ht="90" x14ac:dyDescent="0.25">
      <c r="A178" s="5" t="s">
        <v>101</v>
      </c>
      <c r="B178" s="5" t="s">
        <v>96</v>
      </c>
      <c r="C178" s="5" t="s">
        <v>100</v>
      </c>
      <c r="D178" s="5" t="s">
        <v>288</v>
      </c>
      <c r="E178" s="5" t="s">
        <v>289</v>
      </c>
      <c r="F178" s="5" t="s">
        <v>368</v>
      </c>
      <c r="G178" s="5" t="s">
        <v>369</v>
      </c>
      <c r="H178" s="5" t="s">
        <v>370</v>
      </c>
      <c r="I178" s="5" t="s">
        <v>344</v>
      </c>
      <c r="J178" s="5" t="s">
        <v>345</v>
      </c>
      <c r="K178" s="5" t="s">
        <v>408</v>
      </c>
      <c r="L178" s="5">
        <v>0</v>
      </c>
      <c r="M178" s="5"/>
      <c r="N178" s="5" t="s">
        <v>180</v>
      </c>
      <c r="O178" s="5">
        <f t="shared" si="8"/>
        <v>0</v>
      </c>
      <c r="P178" s="5" t="s">
        <v>295</v>
      </c>
      <c r="Q178" s="5" t="s">
        <v>182</v>
      </c>
      <c r="R178" s="5">
        <v>2</v>
      </c>
      <c r="S178" s="5" t="str">
        <f t="shared" si="9"/>
        <v>Aprobado</v>
      </c>
      <c r="T178" s="5">
        <f t="shared" si="10"/>
        <v>100</v>
      </c>
      <c r="U178" s="5" t="str">
        <f t="shared" si="11"/>
        <v>Supera los requisitos</v>
      </c>
      <c r="V178" s="5" t="s">
        <v>538</v>
      </c>
      <c r="W178" s="5" t="s">
        <v>157</v>
      </c>
      <c r="X178" s="5"/>
      <c r="Y178" s="5" t="s">
        <v>355</v>
      </c>
      <c r="Z178" s="5"/>
    </row>
    <row r="179" spans="1:26" ht="90" x14ac:dyDescent="0.25">
      <c r="A179" s="5" t="s">
        <v>101</v>
      </c>
      <c r="B179" s="5" t="s">
        <v>96</v>
      </c>
      <c r="C179" s="5" t="s">
        <v>100</v>
      </c>
      <c r="D179" s="5" t="s">
        <v>288</v>
      </c>
      <c r="E179" s="5" t="s">
        <v>289</v>
      </c>
      <c r="F179" s="5" t="s">
        <v>372</v>
      </c>
      <c r="G179" s="5" t="s">
        <v>373</v>
      </c>
      <c r="H179" s="5" t="s">
        <v>374</v>
      </c>
      <c r="I179" s="5" t="s">
        <v>344</v>
      </c>
      <c r="J179" s="5" t="s">
        <v>345</v>
      </c>
      <c r="K179" s="5" t="s">
        <v>408</v>
      </c>
      <c r="L179" s="5">
        <v>0</v>
      </c>
      <c r="M179" s="5"/>
      <c r="N179" s="5" t="s">
        <v>180</v>
      </c>
      <c r="O179" s="5">
        <f t="shared" si="8"/>
        <v>0</v>
      </c>
      <c r="P179" s="5" t="s">
        <v>295</v>
      </c>
      <c r="Q179" s="5" t="s">
        <v>182</v>
      </c>
      <c r="R179" s="5">
        <v>2</v>
      </c>
      <c r="S179" s="5" t="str">
        <f t="shared" si="9"/>
        <v>Aprobado</v>
      </c>
      <c r="T179" s="5">
        <f t="shared" si="10"/>
        <v>100</v>
      </c>
      <c r="U179" s="5" t="str">
        <f t="shared" si="11"/>
        <v>Supera los requisitos</v>
      </c>
      <c r="V179" s="5" t="s">
        <v>539</v>
      </c>
      <c r="W179" s="5" t="s">
        <v>157</v>
      </c>
      <c r="X179" s="5"/>
      <c r="Y179" s="5" t="s">
        <v>355</v>
      </c>
      <c r="Z179" s="5"/>
    </row>
    <row r="180" spans="1:26" ht="90" x14ac:dyDescent="0.25">
      <c r="A180" s="5" t="s">
        <v>101</v>
      </c>
      <c r="B180" s="5" t="s">
        <v>96</v>
      </c>
      <c r="C180" s="5" t="s">
        <v>100</v>
      </c>
      <c r="D180" s="5" t="s">
        <v>288</v>
      </c>
      <c r="E180" s="5" t="s">
        <v>289</v>
      </c>
      <c r="F180" s="5" t="s">
        <v>378</v>
      </c>
      <c r="G180" s="5" t="s">
        <v>379</v>
      </c>
      <c r="H180" s="5" t="s">
        <v>380</v>
      </c>
      <c r="I180" s="5" t="s">
        <v>344</v>
      </c>
      <c r="J180" s="5" t="s">
        <v>345</v>
      </c>
      <c r="K180" s="5" t="s">
        <v>408</v>
      </c>
      <c r="L180" s="5">
        <v>0</v>
      </c>
      <c r="M180" s="5"/>
      <c r="N180" s="5" t="s">
        <v>180</v>
      </c>
      <c r="O180" s="5">
        <f t="shared" si="8"/>
        <v>0</v>
      </c>
      <c r="P180" s="5" t="s">
        <v>295</v>
      </c>
      <c r="Q180" s="5" t="s">
        <v>182</v>
      </c>
      <c r="R180" s="5">
        <v>2</v>
      </c>
      <c r="S180" s="5" t="str">
        <f t="shared" si="9"/>
        <v>Aprobado</v>
      </c>
      <c r="T180" s="5">
        <f t="shared" si="10"/>
        <v>100</v>
      </c>
      <c r="U180" s="5" t="str">
        <f t="shared" si="11"/>
        <v>Supera los requisitos</v>
      </c>
      <c r="V180" s="5" t="s">
        <v>540</v>
      </c>
      <c r="W180" s="5" t="s">
        <v>157</v>
      </c>
      <c r="X180" s="5"/>
      <c r="Y180" s="5" t="s">
        <v>355</v>
      </c>
      <c r="Z180" s="5"/>
    </row>
    <row r="181" spans="1:26" ht="90" x14ac:dyDescent="0.25">
      <c r="A181" s="5" t="s">
        <v>101</v>
      </c>
      <c r="B181" s="5" t="s">
        <v>96</v>
      </c>
      <c r="C181" s="5" t="s">
        <v>100</v>
      </c>
      <c r="D181" s="5" t="s">
        <v>288</v>
      </c>
      <c r="E181" s="5" t="s">
        <v>289</v>
      </c>
      <c r="F181" s="5" t="s">
        <v>384</v>
      </c>
      <c r="G181" s="5" t="s">
        <v>385</v>
      </c>
      <c r="H181" s="5" t="s">
        <v>386</v>
      </c>
      <c r="I181" s="5" t="s">
        <v>344</v>
      </c>
      <c r="J181" s="5" t="s">
        <v>345</v>
      </c>
      <c r="K181" s="5" t="s">
        <v>408</v>
      </c>
      <c r="L181" s="5">
        <v>0</v>
      </c>
      <c r="M181" s="5"/>
      <c r="N181" s="5" t="s">
        <v>180</v>
      </c>
      <c r="O181" s="5">
        <f t="shared" si="8"/>
        <v>0</v>
      </c>
      <c r="P181" s="5" t="s">
        <v>295</v>
      </c>
      <c r="Q181" s="5" t="s">
        <v>182</v>
      </c>
      <c r="R181" s="5">
        <v>2</v>
      </c>
      <c r="S181" s="5" t="str">
        <f t="shared" si="9"/>
        <v>Aprobado</v>
      </c>
      <c r="T181" s="5">
        <f t="shared" si="10"/>
        <v>100</v>
      </c>
      <c r="U181" s="5" t="str">
        <f t="shared" si="11"/>
        <v>Supera los requisitos</v>
      </c>
      <c r="V181" s="5" t="s">
        <v>541</v>
      </c>
      <c r="W181" s="5" t="s">
        <v>157</v>
      </c>
      <c r="X181" s="5"/>
      <c r="Y181" s="5" t="s">
        <v>355</v>
      </c>
      <c r="Z181" s="5"/>
    </row>
    <row r="182" spans="1:26" ht="90" x14ac:dyDescent="0.25">
      <c r="A182" s="5" t="s">
        <v>103</v>
      </c>
      <c r="B182" s="5" t="s">
        <v>96</v>
      </c>
      <c r="C182" s="5" t="s">
        <v>102</v>
      </c>
      <c r="D182" s="5" t="s">
        <v>301</v>
      </c>
      <c r="E182" s="5" t="s">
        <v>302</v>
      </c>
      <c r="F182" s="5" t="s">
        <v>341</v>
      </c>
      <c r="G182" s="5" t="s">
        <v>342</v>
      </c>
      <c r="H182" s="5" t="s">
        <v>343</v>
      </c>
      <c r="I182" s="5" t="s">
        <v>344</v>
      </c>
      <c r="J182" s="5" t="s">
        <v>345</v>
      </c>
      <c r="K182" s="5" t="s">
        <v>346</v>
      </c>
      <c r="L182" s="5">
        <v>29</v>
      </c>
      <c r="M182" s="5">
        <v>29</v>
      </c>
      <c r="N182" s="5" t="s">
        <v>347</v>
      </c>
      <c r="O182" s="5">
        <f t="shared" si="8"/>
        <v>100</v>
      </c>
      <c r="P182" s="5" t="s">
        <v>152</v>
      </c>
      <c r="Q182" s="5" t="s">
        <v>153</v>
      </c>
      <c r="R182" s="5">
        <v>90</v>
      </c>
      <c r="S182" s="5" t="str">
        <f t="shared" si="9"/>
        <v>Aprobado</v>
      </c>
      <c r="T182" s="5">
        <f t="shared" si="10"/>
        <v>100</v>
      </c>
      <c r="U182" s="5" t="str">
        <f t="shared" si="11"/>
        <v>Supera los requisitos</v>
      </c>
      <c r="V182" s="5" t="s">
        <v>544</v>
      </c>
      <c r="W182" s="5" t="s">
        <v>157</v>
      </c>
      <c r="X182" s="5"/>
      <c r="Y182" s="5" t="s">
        <v>355</v>
      </c>
      <c r="Z182" s="5"/>
    </row>
    <row r="183" spans="1:26" ht="90" x14ac:dyDescent="0.25">
      <c r="A183" s="5" t="s">
        <v>103</v>
      </c>
      <c r="B183" s="5" t="s">
        <v>96</v>
      </c>
      <c r="C183" s="5" t="s">
        <v>102</v>
      </c>
      <c r="D183" s="5" t="s">
        <v>301</v>
      </c>
      <c r="E183" s="5" t="s">
        <v>302</v>
      </c>
      <c r="F183" s="5" t="s">
        <v>351</v>
      </c>
      <c r="G183" s="5" t="s">
        <v>352</v>
      </c>
      <c r="H183" s="5" t="s">
        <v>353</v>
      </c>
      <c r="I183" s="5" t="s">
        <v>344</v>
      </c>
      <c r="J183" s="5" t="s">
        <v>345</v>
      </c>
      <c r="K183" s="5" t="s">
        <v>346</v>
      </c>
      <c r="L183" s="5">
        <v>29</v>
      </c>
      <c r="M183" s="5">
        <v>29</v>
      </c>
      <c r="N183" s="5" t="s">
        <v>347</v>
      </c>
      <c r="O183" s="5">
        <f t="shared" si="8"/>
        <v>100</v>
      </c>
      <c r="P183" s="5" t="s">
        <v>152</v>
      </c>
      <c r="Q183" s="5" t="s">
        <v>153</v>
      </c>
      <c r="R183" s="5">
        <v>90</v>
      </c>
      <c r="S183" s="5" t="str">
        <f t="shared" si="9"/>
        <v>Aprobado</v>
      </c>
      <c r="T183" s="5">
        <f t="shared" si="10"/>
        <v>100</v>
      </c>
      <c r="U183" s="5" t="str">
        <f t="shared" si="11"/>
        <v>Supera los requisitos</v>
      </c>
      <c r="V183" s="5" t="s">
        <v>545</v>
      </c>
      <c r="W183" s="5" t="s">
        <v>157</v>
      </c>
      <c r="X183" s="5"/>
      <c r="Y183" s="5" t="s">
        <v>355</v>
      </c>
      <c r="Z183" s="5"/>
    </row>
    <row r="184" spans="1:26" ht="90" x14ac:dyDescent="0.25">
      <c r="A184" s="5" t="s">
        <v>103</v>
      </c>
      <c r="B184" s="5" t="s">
        <v>96</v>
      </c>
      <c r="C184" s="5" t="s">
        <v>102</v>
      </c>
      <c r="D184" s="5" t="s">
        <v>301</v>
      </c>
      <c r="E184" s="5" t="s">
        <v>302</v>
      </c>
      <c r="F184" s="5" t="s">
        <v>356</v>
      </c>
      <c r="G184" s="5" t="s">
        <v>357</v>
      </c>
      <c r="H184" s="5" t="s">
        <v>358</v>
      </c>
      <c r="I184" s="5" t="s">
        <v>344</v>
      </c>
      <c r="J184" s="5" t="s">
        <v>345</v>
      </c>
      <c r="K184" s="5" t="s">
        <v>346</v>
      </c>
      <c r="L184" s="5">
        <v>29</v>
      </c>
      <c r="M184" s="5">
        <v>29</v>
      </c>
      <c r="N184" s="5" t="s">
        <v>347</v>
      </c>
      <c r="O184" s="5">
        <f t="shared" si="8"/>
        <v>100</v>
      </c>
      <c r="P184" s="5" t="s">
        <v>152</v>
      </c>
      <c r="Q184" s="5" t="s">
        <v>153</v>
      </c>
      <c r="R184" s="5">
        <v>90</v>
      </c>
      <c r="S184" s="5" t="str">
        <f t="shared" si="9"/>
        <v>Aprobado</v>
      </c>
      <c r="T184" s="5">
        <f t="shared" si="10"/>
        <v>100</v>
      </c>
      <c r="U184" s="5" t="str">
        <f t="shared" si="11"/>
        <v>Supera los requisitos</v>
      </c>
      <c r="V184" s="5" t="s">
        <v>546</v>
      </c>
      <c r="W184" s="5" t="s">
        <v>157</v>
      </c>
      <c r="X184" s="5"/>
      <c r="Y184" s="5" t="s">
        <v>355</v>
      </c>
      <c r="Z184" s="5"/>
    </row>
    <row r="185" spans="1:26" ht="90" x14ac:dyDescent="0.25">
      <c r="A185" s="5" t="s">
        <v>103</v>
      </c>
      <c r="B185" s="5" t="s">
        <v>96</v>
      </c>
      <c r="C185" s="5" t="s">
        <v>102</v>
      </c>
      <c r="D185" s="5" t="s">
        <v>301</v>
      </c>
      <c r="E185" s="5" t="s">
        <v>302</v>
      </c>
      <c r="F185" s="5" t="s">
        <v>360</v>
      </c>
      <c r="G185" s="5" t="s">
        <v>361</v>
      </c>
      <c r="H185" s="5" t="s">
        <v>362</v>
      </c>
      <c r="I185" s="5" t="s">
        <v>344</v>
      </c>
      <c r="J185" s="5" t="s">
        <v>345</v>
      </c>
      <c r="K185" s="5" t="s">
        <v>346</v>
      </c>
      <c r="L185" s="5">
        <v>29</v>
      </c>
      <c r="M185" s="5">
        <v>29</v>
      </c>
      <c r="N185" s="5" t="s">
        <v>347</v>
      </c>
      <c r="O185" s="5">
        <f t="shared" si="8"/>
        <v>100</v>
      </c>
      <c r="P185" s="5" t="s">
        <v>152</v>
      </c>
      <c r="Q185" s="5" t="s">
        <v>153</v>
      </c>
      <c r="R185" s="5">
        <v>90</v>
      </c>
      <c r="S185" s="5" t="str">
        <f t="shared" si="9"/>
        <v>Aprobado</v>
      </c>
      <c r="T185" s="5">
        <f t="shared" si="10"/>
        <v>100</v>
      </c>
      <c r="U185" s="5" t="str">
        <f t="shared" si="11"/>
        <v>Supera los requisitos</v>
      </c>
      <c r="V185" s="5" t="s">
        <v>547</v>
      </c>
      <c r="W185" s="5" t="s">
        <v>157</v>
      </c>
      <c r="X185" s="5"/>
      <c r="Y185" s="5" t="s">
        <v>355</v>
      </c>
      <c r="Z185" s="5"/>
    </row>
    <row r="186" spans="1:26" ht="90" x14ac:dyDescent="0.25">
      <c r="A186" s="5" t="s">
        <v>103</v>
      </c>
      <c r="B186" s="5" t="s">
        <v>96</v>
      </c>
      <c r="C186" s="5" t="s">
        <v>102</v>
      </c>
      <c r="D186" s="5" t="s">
        <v>301</v>
      </c>
      <c r="E186" s="5" t="s">
        <v>302</v>
      </c>
      <c r="F186" s="5" t="s">
        <v>364</v>
      </c>
      <c r="G186" s="5" t="s">
        <v>365</v>
      </c>
      <c r="H186" s="5" t="s">
        <v>366</v>
      </c>
      <c r="I186" s="5" t="s">
        <v>344</v>
      </c>
      <c r="J186" s="5" t="s">
        <v>345</v>
      </c>
      <c r="K186" s="5" t="s">
        <v>346</v>
      </c>
      <c r="L186" s="5">
        <v>29</v>
      </c>
      <c r="M186" s="5">
        <v>29</v>
      </c>
      <c r="N186" s="5" t="s">
        <v>347</v>
      </c>
      <c r="O186" s="5">
        <f t="shared" si="8"/>
        <v>100</v>
      </c>
      <c r="P186" s="5" t="s">
        <v>152</v>
      </c>
      <c r="Q186" s="5" t="s">
        <v>153</v>
      </c>
      <c r="R186" s="5">
        <v>90</v>
      </c>
      <c r="S186" s="5" t="str">
        <f t="shared" si="9"/>
        <v>Aprobado</v>
      </c>
      <c r="T186" s="5">
        <f t="shared" si="10"/>
        <v>100</v>
      </c>
      <c r="U186" s="5" t="str">
        <f t="shared" si="11"/>
        <v>Supera los requisitos</v>
      </c>
      <c r="V186" s="5" t="s">
        <v>548</v>
      </c>
      <c r="W186" s="5" t="s">
        <v>157</v>
      </c>
      <c r="X186" s="5"/>
      <c r="Y186" s="5" t="s">
        <v>355</v>
      </c>
      <c r="Z186" s="5"/>
    </row>
    <row r="187" spans="1:26" ht="90" x14ac:dyDescent="0.25">
      <c r="A187" s="5" t="s">
        <v>103</v>
      </c>
      <c r="B187" s="5" t="s">
        <v>96</v>
      </c>
      <c r="C187" s="5" t="s">
        <v>102</v>
      </c>
      <c r="D187" s="5" t="s">
        <v>301</v>
      </c>
      <c r="E187" s="5" t="s">
        <v>302</v>
      </c>
      <c r="F187" s="5" t="s">
        <v>368</v>
      </c>
      <c r="G187" s="5" t="s">
        <v>369</v>
      </c>
      <c r="H187" s="5" t="s">
        <v>370</v>
      </c>
      <c r="I187" s="5" t="s">
        <v>344</v>
      </c>
      <c r="J187" s="5" t="s">
        <v>345</v>
      </c>
      <c r="K187" s="5" t="s">
        <v>346</v>
      </c>
      <c r="L187" s="5">
        <v>29</v>
      </c>
      <c r="M187" s="5">
        <v>29</v>
      </c>
      <c r="N187" s="5" t="s">
        <v>347</v>
      </c>
      <c r="O187" s="5">
        <f t="shared" si="8"/>
        <v>100</v>
      </c>
      <c r="P187" s="5" t="s">
        <v>152</v>
      </c>
      <c r="Q187" s="5" t="s">
        <v>153</v>
      </c>
      <c r="R187" s="5">
        <v>90</v>
      </c>
      <c r="S187" s="5" t="str">
        <f t="shared" si="9"/>
        <v>Aprobado</v>
      </c>
      <c r="T187" s="5">
        <f t="shared" si="10"/>
        <v>100</v>
      </c>
      <c r="U187" s="5" t="str">
        <f t="shared" si="11"/>
        <v>Supera los requisitos</v>
      </c>
      <c r="V187" s="5" t="s">
        <v>549</v>
      </c>
      <c r="W187" s="5" t="s">
        <v>157</v>
      </c>
      <c r="X187" s="5"/>
      <c r="Y187" s="5" t="s">
        <v>355</v>
      </c>
      <c r="Z187" s="5"/>
    </row>
    <row r="188" spans="1:26" ht="90" x14ac:dyDescent="0.25">
      <c r="A188" s="5" t="s">
        <v>103</v>
      </c>
      <c r="B188" s="5" t="s">
        <v>96</v>
      </c>
      <c r="C188" s="5" t="s">
        <v>102</v>
      </c>
      <c r="D188" s="5" t="s">
        <v>301</v>
      </c>
      <c r="E188" s="5" t="s">
        <v>302</v>
      </c>
      <c r="F188" s="5" t="s">
        <v>372</v>
      </c>
      <c r="G188" s="5" t="s">
        <v>373</v>
      </c>
      <c r="H188" s="5" t="s">
        <v>374</v>
      </c>
      <c r="I188" s="5" t="s">
        <v>344</v>
      </c>
      <c r="J188" s="5" t="s">
        <v>345</v>
      </c>
      <c r="K188" s="5" t="s">
        <v>346</v>
      </c>
      <c r="L188" s="5">
        <v>29</v>
      </c>
      <c r="M188" s="5">
        <v>29</v>
      </c>
      <c r="N188" s="5" t="s">
        <v>347</v>
      </c>
      <c r="O188" s="5">
        <f t="shared" si="8"/>
        <v>100</v>
      </c>
      <c r="P188" s="5" t="s">
        <v>152</v>
      </c>
      <c r="Q188" s="5" t="s">
        <v>153</v>
      </c>
      <c r="R188" s="5">
        <v>90</v>
      </c>
      <c r="S188" s="5" t="str">
        <f t="shared" si="9"/>
        <v>Aprobado</v>
      </c>
      <c r="T188" s="5">
        <f t="shared" si="10"/>
        <v>100</v>
      </c>
      <c r="U188" s="5" t="str">
        <f t="shared" si="11"/>
        <v>Supera los requisitos</v>
      </c>
      <c r="V188" s="5" t="s">
        <v>550</v>
      </c>
      <c r="W188" s="5" t="s">
        <v>157</v>
      </c>
      <c r="X188" s="5"/>
      <c r="Y188" s="5" t="s">
        <v>355</v>
      </c>
      <c r="Z188" s="5"/>
    </row>
    <row r="189" spans="1:26" ht="90" x14ac:dyDescent="0.25">
      <c r="A189" s="5" t="s">
        <v>103</v>
      </c>
      <c r="B189" s="5" t="s">
        <v>96</v>
      </c>
      <c r="C189" s="5" t="s">
        <v>102</v>
      </c>
      <c r="D189" s="5" t="s">
        <v>301</v>
      </c>
      <c r="E189" s="5" t="s">
        <v>302</v>
      </c>
      <c r="F189" s="5" t="s">
        <v>378</v>
      </c>
      <c r="G189" s="5" t="s">
        <v>379</v>
      </c>
      <c r="H189" s="5" t="s">
        <v>380</v>
      </c>
      <c r="I189" s="5" t="s">
        <v>344</v>
      </c>
      <c r="J189" s="5" t="s">
        <v>345</v>
      </c>
      <c r="K189" s="5" t="s">
        <v>346</v>
      </c>
      <c r="L189" s="5">
        <v>29</v>
      </c>
      <c r="M189" s="5">
        <v>29</v>
      </c>
      <c r="N189" s="5" t="s">
        <v>347</v>
      </c>
      <c r="O189" s="5">
        <f t="shared" si="8"/>
        <v>100</v>
      </c>
      <c r="P189" s="5" t="s">
        <v>152</v>
      </c>
      <c r="Q189" s="5" t="s">
        <v>153</v>
      </c>
      <c r="R189" s="5">
        <v>90</v>
      </c>
      <c r="S189" s="5" t="str">
        <f t="shared" si="9"/>
        <v>Aprobado</v>
      </c>
      <c r="T189" s="5">
        <f t="shared" si="10"/>
        <v>100</v>
      </c>
      <c r="U189" s="5" t="str">
        <f t="shared" si="11"/>
        <v>Supera los requisitos</v>
      </c>
      <c r="V189" s="5" t="s">
        <v>551</v>
      </c>
      <c r="W189" s="5" t="s">
        <v>157</v>
      </c>
      <c r="X189" s="5"/>
      <c r="Y189" s="5" t="s">
        <v>355</v>
      </c>
      <c r="Z189" s="5"/>
    </row>
    <row r="190" spans="1:26" ht="90" x14ac:dyDescent="0.25">
      <c r="A190" s="5" t="s">
        <v>103</v>
      </c>
      <c r="B190" s="5" t="s">
        <v>96</v>
      </c>
      <c r="C190" s="5" t="s">
        <v>102</v>
      </c>
      <c r="D190" s="5" t="s">
        <v>301</v>
      </c>
      <c r="E190" s="5" t="s">
        <v>302</v>
      </c>
      <c r="F190" s="5" t="s">
        <v>384</v>
      </c>
      <c r="G190" s="5" t="s">
        <v>385</v>
      </c>
      <c r="H190" s="5" t="s">
        <v>386</v>
      </c>
      <c r="I190" s="5" t="s">
        <v>344</v>
      </c>
      <c r="J190" s="5" t="s">
        <v>345</v>
      </c>
      <c r="K190" s="5" t="s">
        <v>346</v>
      </c>
      <c r="L190" s="5">
        <v>29</v>
      </c>
      <c r="M190" s="5">
        <v>29</v>
      </c>
      <c r="N190" s="5" t="s">
        <v>347</v>
      </c>
      <c r="O190" s="5">
        <f t="shared" si="8"/>
        <v>100</v>
      </c>
      <c r="P190" s="5" t="s">
        <v>152</v>
      </c>
      <c r="Q190" s="5" t="s">
        <v>153</v>
      </c>
      <c r="R190" s="5">
        <v>90</v>
      </c>
      <c r="S190" s="5" t="str">
        <f t="shared" si="9"/>
        <v>Aprobado</v>
      </c>
      <c r="T190" s="5">
        <f t="shared" si="10"/>
        <v>100</v>
      </c>
      <c r="U190" s="5" t="str">
        <f t="shared" si="11"/>
        <v>Supera los requisitos</v>
      </c>
      <c r="V190" s="5" t="s">
        <v>552</v>
      </c>
      <c r="W190" s="5" t="s">
        <v>157</v>
      </c>
      <c r="X190" s="5"/>
      <c r="Y190" s="5" t="s">
        <v>355</v>
      </c>
      <c r="Z190" s="5"/>
    </row>
    <row r="191" spans="1:26" ht="120" x14ac:dyDescent="0.25">
      <c r="A191" s="5" t="s">
        <v>112</v>
      </c>
      <c r="B191" s="5" t="s">
        <v>109</v>
      </c>
      <c r="C191" s="5" t="s">
        <v>111</v>
      </c>
      <c r="D191" s="5" t="s">
        <v>309</v>
      </c>
      <c r="E191" s="5" t="s">
        <v>240</v>
      </c>
      <c r="F191" s="5" t="s">
        <v>341</v>
      </c>
      <c r="G191" s="5" t="s">
        <v>342</v>
      </c>
      <c r="H191" s="5" t="s">
        <v>343</v>
      </c>
      <c r="I191" s="5" t="s">
        <v>344</v>
      </c>
      <c r="J191" s="5" t="s">
        <v>345</v>
      </c>
      <c r="K191" s="5" t="s">
        <v>346</v>
      </c>
      <c r="L191" s="5">
        <v>3</v>
      </c>
      <c r="M191" s="5">
        <v>9</v>
      </c>
      <c r="N191" s="5" t="s">
        <v>347</v>
      </c>
      <c r="O191" s="5">
        <f t="shared" si="8"/>
        <v>33.33</v>
      </c>
      <c r="P191" s="5" t="s">
        <v>152</v>
      </c>
      <c r="Q191" s="5" t="s">
        <v>153</v>
      </c>
      <c r="R191" s="5">
        <v>100</v>
      </c>
      <c r="S191" s="5" t="str">
        <f t="shared" si="9"/>
        <v>Rechazado</v>
      </c>
      <c r="T191" s="5">
        <f t="shared" si="10"/>
        <v>33.33</v>
      </c>
      <c r="U191" s="5" t="str">
        <f t="shared" si="11"/>
        <v>No aceptable</v>
      </c>
      <c r="V191" s="5" t="s">
        <v>553</v>
      </c>
      <c r="W191" s="5" t="s">
        <v>157</v>
      </c>
      <c r="X191" s="5" t="s">
        <v>554</v>
      </c>
      <c r="Y191" s="5" t="s">
        <v>555</v>
      </c>
      <c r="Z191" s="5"/>
    </row>
    <row r="192" spans="1:26" ht="90" x14ac:dyDescent="0.25">
      <c r="A192" s="5" t="s">
        <v>112</v>
      </c>
      <c r="B192" s="5" t="s">
        <v>109</v>
      </c>
      <c r="C192" s="5" t="s">
        <v>111</v>
      </c>
      <c r="D192" s="5" t="s">
        <v>309</v>
      </c>
      <c r="E192" s="5" t="s">
        <v>240</v>
      </c>
      <c r="F192" s="5" t="s">
        <v>351</v>
      </c>
      <c r="G192" s="5" t="s">
        <v>352</v>
      </c>
      <c r="H192" s="5" t="s">
        <v>353</v>
      </c>
      <c r="I192" s="5" t="s">
        <v>344</v>
      </c>
      <c r="J192" s="5" t="s">
        <v>345</v>
      </c>
      <c r="K192" s="5" t="s">
        <v>346</v>
      </c>
      <c r="L192" s="5">
        <v>9</v>
      </c>
      <c r="M192" s="5">
        <v>9</v>
      </c>
      <c r="N192" s="5" t="s">
        <v>347</v>
      </c>
      <c r="O192" s="5">
        <f t="shared" si="8"/>
        <v>100</v>
      </c>
      <c r="P192" s="5" t="s">
        <v>152</v>
      </c>
      <c r="Q192" s="5" t="s">
        <v>153</v>
      </c>
      <c r="R192" s="5">
        <v>100</v>
      </c>
      <c r="S192" s="5" t="str">
        <f t="shared" si="9"/>
        <v>Aprobado</v>
      </c>
      <c r="T192" s="5">
        <f t="shared" si="10"/>
        <v>100</v>
      </c>
      <c r="U192" s="5" t="str">
        <f t="shared" si="11"/>
        <v>Supera los requisitos</v>
      </c>
      <c r="V192" s="5" t="s">
        <v>556</v>
      </c>
      <c r="W192" s="5" t="s">
        <v>157</v>
      </c>
      <c r="X192" s="5"/>
      <c r="Y192" s="5" t="s">
        <v>355</v>
      </c>
      <c r="Z192" s="5"/>
    </row>
    <row r="193" spans="1:26" ht="90" x14ac:dyDescent="0.25">
      <c r="A193" s="5" t="s">
        <v>112</v>
      </c>
      <c r="B193" s="5" t="s">
        <v>109</v>
      </c>
      <c r="C193" s="5" t="s">
        <v>111</v>
      </c>
      <c r="D193" s="5" t="s">
        <v>309</v>
      </c>
      <c r="E193" s="5" t="s">
        <v>240</v>
      </c>
      <c r="F193" s="5" t="s">
        <v>356</v>
      </c>
      <c r="G193" s="5" t="s">
        <v>357</v>
      </c>
      <c r="H193" s="5" t="s">
        <v>358</v>
      </c>
      <c r="I193" s="5" t="s">
        <v>344</v>
      </c>
      <c r="J193" s="5" t="s">
        <v>345</v>
      </c>
      <c r="K193" s="5" t="s">
        <v>346</v>
      </c>
      <c r="L193" s="5">
        <v>9</v>
      </c>
      <c r="M193" s="5">
        <v>9</v>
      </c>
      <c r="N193" s="5" t="s">
        <v>347</v>
      </c>
      <c r="O193" s="5">
        <f t="shared" si="8"/>
        <v>100</v>
      </c>
      <c r="P193" s="5" t="s">
        <v>152</v>
      </c>
      <c r="Q193" s="5" t="s">
        <v>153</v>
      </c>
      <c r="R193" s="5">
        <v>100</v>
      </c>
      <c r="S193" s="5" t="str">
        <f t="shared" si="9"/>
        <v>Aprobado</v>
      </c>
      <c r="T193" s="5">
        <f t="shared" si="10"/>
        <v>100</v>
      </c>
      <c r="U193" s="5" t="str">
        <f t="shared" si="11"/>
        <v>Supera los requisitos</v>
      </c>
      <c r="V193" s="5" t="s">
        <v>557</v>
      </c>
      <c r="W193" s="5" t="s">
        <v>157</v>
      </c>
      <c r="X193" s="5"/>
      <c r="Y193" s="5" t="s">
        <v>355</v>
      </c>
      <c r="Z193" s="5"/>
    </row>
    <row r="194" spans="1:26" ht="90" x14ac:dyDescent="0.25">
      <c r="A194" s="5" t="s">
        <v>112</v>
      </c>
      <c r="B194" s="5" t="s">
        <v>109</v>
      </c>
      <c r="C194" s="5" t="s">
        <v>111</v>
      </c>
      <c r="D194" s="5" t="s">
        <v>309</v>
      </c>
      <c r="E194" s="5" t="s">
        <v>240</v>
      </c>
      <c r="F194" s="5" t="s">
        <v>360</v>
      </c>
      <c r="G194" s="5" t="s">
        <v>361</v>
      </c>
      <c r="H194" s="5" t="s">
        <v>362</v>
      </c>
      <c r="I194" s="5" t="s">
        <v>344</v>
      </c>
      <c r="J194" s="5" t="s">
        <v>345</v>
      </c>
      <c r="K194" s="5" t="s">
        <v>346</v>
      </c>
      <c r="L194" s="5">
        <v>9</v>
      </c>
      <c r="M194" s="5">
        <v>9</v>
      </c>
      <c r="N194" s="5" t="s">
        <v>347</v>
      </c>
      <c r="O194" s="5">
        <f t="shared" ref="O194:O226" si="12">IF(L194="","",IF(K194="proporcion",ROUND(L194/M194*100,2),L194))</f>
        <v>100</v>
      </c>
      <c r="P194" s="5" t="s">
        <v>152</v>
      </c>
      <c r="Q194" s="5" t="s">
        <v>153</v>
      </c>
      <c r="R194" s="5">
        <v>100</v>
      </c>
      <c r="S194" s="5" t="str">
        <f t="shared" ref="S194:S257" si="13">IF(O194="","Pendiente",IF(Q194="mayor",IF(O194&gt;=R194,"Aprobado","Rechazado"),IF(O194&lt;=R194,"Aprobado","Rechazado")))</f>
        <v>Aprobado</v>
      </c>
      <c r="T194" s="5">
        <f t="shared" ref="T194:T226" si="14">IF(O194="","",IF(K194="proporcion",O194,MIN(100,ROUND(100*R194/MAX(O194,0.000001),2))))</f>
        <v>100</v>
      </c>
      <c r="U194" s="5" t="str">
        <f t="shared" ref="U194:U257" si="15">IF(T194="","",IF(T194&lt;40,"No aceptable",IF(T194&lt;60,"Mínimamente aceptable",IF(T194&lt;90,"Rango objetivo","Supera los requisitos"))))</f>
        <v>Supera los requisitos</v>
      </c>
      <c r="V194" s="5" t="s">
        <v>558</v>
      </c>
      <c r="W194" s="5" t="s">
        <v>157</v>
      </c>
      <c r="X194" s="5"/>
      <c r="Y194" s="5" t="s">
        <v>355</v>
      </c>
      <c r="Z194" s="5"/>
    </row>
    <row r="195" spans="1:26" ht="90" x14ac:dyDescent="0.25">
      <c r="A195" s="5" t="s">
        <v>112</v>
      </c>
      <c r="B195" s="5" t="s">
        <v>109</v>
      </c>
      <c r="C195" s="5" t="s">
        <v>111</v>
      </c>
      <c r="D195" s="5" t="s">
        <v>309</v>
      </c>
      <c r="E195" s="5" t="s">
        <v>240</v>
      </c>
      <c r="F195" s="5" t="s">
        <v>364</v>
      </c>
      <c r="G195" s="5" t="s">
        <v>365</v>
      </c>
      <c r="H195" s="5" t="s">
        <v>366</v>
      </c>
      <c r="I195" s="5" t="s">
        <v>344</v>
      </c>
      <c r="J195" s="5" t="s">
        <v>345</v>
      </c>
      <c r="K195" s="5" t="s">
        <v>346</v>
      </c>
      <c r="L195" s="5">
        <v>9</v>
      </c>
      <c r="M195" s="5">
        <v>9</v>
      </c>
      <c r="N195" s="5" t="s">
        <v>347</v>
      </c>
      <c r="O195" s="5">
        <f t="shared" si="12"/>
        <v>100</v>
      </c>
      <c r="P195" s="5" t="s">
        <v>152</v>
      </c>
      <c r="Q195" s="5" t="s">
        <v>153</v>
      </c>
      <c r="R195" s="5">
        <v>100</v>
      </c>
      <c r="S195" s="5" t="str">
        <f t="shared" si="13"/>
        <v>Aprobado</v>
      </c>
      <c r="T195" s="5">
        <f t="shared" si="14"/>
        <v>100</v>
      </c>
      <c r="U195" s="5" t="str">
        <f t="shared" si="15"/>
        <v>Supera los requisitos</v>
      </c>
      <c r="V195" s="5" t="s">
        <v>559</v>
      </c>
      <c r="W195" s="5" t="s">
        <v>157</v>
      </c>
      <c r="X195" s="5"/>
      <c r="Y195" s="5" t="s">
        <v>355</v>
      </c>
      <c r="Z195" s="5"/>
    </row>
    <row r="196" spans="1:26" ht="90" x14ac:dyDescent="0.25">
      <c r="A196" s="5" t="s">
        <v>112</v>
      </c>
      <c r="B196" s="5" t="s">
        <v>109</v>
      </c>
      <c r="C196" s="5" t="s">
        <v>111</v>
      </c>
      <c r="D196" s="5" t="s">
        <v>309</v>
      </c>
      <c r="E196" s="5" t="s">
        <v>240</v>
      </c>
      <c r="F196" s="5" t="s">
        <v>368</v>
      </c>
      <c r="G196" s="5" t="s">
        <v>369</v>
      </c>
      <c r="H196" s="5" t="s">
        <v>370</v>
      </c>
      <c r="I196" s="5" t="s">
        <v>344</v>
      </c>
      <c r="J196" s="5" t="s">
        <v>345</v>
      </c>
      <c r="K196" s="5" t="s">
        <v>346</v>
      </c>
      <c r="L196" s="5">
        <v>9</v>
      </c>
      <c r="M196" s="5">
        <v>9</v>
      </c>
      <c r="N196" s="5" t="s">
        <v>347</v>
      </c>
      <c r="O196" s="5">
        <f t="shared" si="12"/>
        <v>100</v>
      </c>
      <c r="P196" s="5" t="s">
        <v>152</v>
      </c>
      <c r="Q196" s="5" t="s">
        <v>153</v>
      </c>
      <c r="R196" s="5">
        <v>100</v>
      </c>
      <c r="S196" s="5" t="str">
        <f t="shared" si="13"/>
        <v>Aprobado</v>
      </c>
      <c r="T196" s="5">
        <f t="shared" si="14"/>
        <v>100</v>
      </c>
      <c r="U196" s="5" t="str">
        <f t="shared" si="15"/>
        <v>Supera los requisitos</v>
      </c>
      <c r="V196" s="5" t="s">
        <v>560</v>
      </c>
      <c r="W196" s="5" t="s">
        <v>157</v>
      </c>
      <c r="X196" s="5"/>
      <c r="Y196" s="5" t="s">
        <v>355</v>
      </c>
      <c r="Z196" s="5"/>
    </row>
    <row r="197" spans="1:26" ht="90" x14ac:dyDescent="0.25">
      <c r="A197" s="5" t="s">
        <v>112</v>
      </c>
      <c r="B197" s="5" t="s">
        <v>109</v>
      </c>
      <c r="C197" s="5" t="s">
        <v>111</v>
      </c>
      <c r="D197" s="5" t="s">
        <v>309</v>
      </c>
      <c r="E197" s="5" t="s">
        <v>240</v>
      </c>
      <c r="F197" s="5" t="s">
        <v>372</v>
      </c>
      <c r="G197" s="5" t="s">
        <v>373</v>
      </c>
      <c r="H197" s="5" t="s">
        <v>374</v>
      </c>
      <c r="I197" s="5" t="s">
        <v>344</v>
      </c>
      <c r="J197" s="5" t="s">
        <v>345</v>
      </c>
      <c r="K197" s="5" t="s">
        <v>346</v>
      </c>
      <c r="L197" s="5">
        <v>9</v>
      </c>
      <c r="M197" s="5">
        <v>9</v>
      </c>
      <c r="N197" s="5" t="s">
        <v>347</v>
      </c>
      <c r="O197" s="5">
        <f t="shared" si="12"/>
        <v>100</v>
      </c>
      <c r="P197" s="5" t="s">
        <v>152</v>
      </c>
      <c r="Q197" s="5" t="s">
        <v>153</v>
      </c>
      <c r="R197" s="5">
        <v>100</v>
      </c>
      <c r="S197" s="5" t="str">
        <f t="shared" si="13"/>
        <v>Aprobado</v>
      </c>
      <c r="T197" s="5">
        <f t="shared" si="14"/>
        <v>100</v>
      </c>
      <c r="U197" s="5" t="str">
        <f t="shared" si="15"/>
        <v>Supera los requisitos</v>
      </c>
      <c r="V197" s="5" t="s">
        <v>561</v>
      </c>
      <c r="W197" s="5" t="s">
        <v>157</v>
      </c>
      <c r="X197" s="5"/>
      <c r="Y197" s="5" t="s">
        <v>355</v>
      </c>
      <c r="Z197" s="5"/>
    </row>
    <row r="198" spans="1:26" ht="90" x14ac:dyDescent="0.25">
      <c r="A198" s="5" t="s">
        <v>112</v>
      </c>
      <c r="B198" s="5" t="s">
        <v>109</v>
      </c>
      <c r="C198" s="5" t="s">
        <v>111</v>
      </c>
      <c r="D198" s="5" t="s">
        <v>309</v>
      </c>
      <c r="E198" s="5" t="s">
        <v>240</v>
      </c>
      <c r="F198" s="5" t="s">
        <v>378</v>
      </c>
      <c r="G198" s="5" t="s">
        <v>379</v>
      </c>
      <c r="H198" s="5" t="s">
        <v>380</v>
      </c>
      <c r="I198" s="5" t="s">
        <v>344</v>
      </c>
      <c r="J198" s="5" t="s">
        <v>345</v>
      </c>
      <c r="K198" s="5" t="s">
        <v>346</v>
      </c>
      <c r="L198" s="5">
        <v>9</v>
      </c>
      <c r="M198" s="5">
        <v>9</v>
      </c>
      <c r="N198" s="5" t="s">
        <v>347</v>
      </c>
      <c r="O198" s="5">
        <f t="shared" si="12"/>
        <v>100</v>
      </c>
      <c r="P198" s="5" t="s">
        <v>152</v>
      </c>
      <c r="Q198" s="5" t="s">
        <v>153</v>
      </c>
      <c r="R198" s="5">
        <v>100</v>
      </c>
      <c r="S198" s="5" t="str">
        <f t="shared" si="13"/>
        <v>Aprobado</v>
      </c>
      <c r="T198" s="5">
        <f t="shared" si="14"/>
        <v>100</v>
      </c>
      <c r="U198" s="5" t="str">
        <f t="shared" si="15"/>
        <v>Supera los requisitos</v>
      </c>
      <c r="V198" s="5" t="s">
        <v>562</v>
      </c>
      <c r="W198" s="5" t="s">
        <v>157</v>
      </c>
      <c r="X198" s="5"/>
      <c r="Y198" s="5" t="s">
        <v>355</v>
      </c>
      <c r="Z198" s="5"/>
    </row>
    <row r="199" spans="1:26" ht="90" x14ac:dyDescent="0.25">
      <c r="A199" s="5" t="s">
        <v>112</v>
      </c>
      <c r="B199" s="5" t="s">
        <v>109</v>
      </c>
      <c r="C199" s="5" t="s">
        <v>111</v>
      </c>
      <c r="D199" s="5" t="s">
        <v>309</v>
      </c>
      <c r="E199" s="5" t="s">
        <v>240</v>
      </c>
      <c r="F199" s="5" t="s">
        <v>384</v>
      </c>
      <c r="G199" s="5" t="s">
        <v>385</v>
      </c>
      <c r="H199" s="5" t="s">
        <v>386</v>
      </c>
      <c r="I199" s="5" t="s">
        <v>344</v>
      </c>
      <c r="J199" s="5" t="s">
        <v>345</v>
      </c>
      <c r="K199" s="5" t="s">
        <v>346</v>
      </c>
      <c r="L199" s="5">
        <v>9</v>
      </c>
      <c r="M199" s="5">
        <v>9</v>
      </c>
      <c r="N199" s="5" t="s">
        <v>347</v>
      </c>
      <c r="O199" s="5">
        <f t="shared" si="12"/>
        <v>100</v>
      </c>
      <c r="P199" s="5" t="s">
        <v>152</v>
      </c>
      <c r="Q199" s="5" t="s">
        <v>153</v>
      </c>
      <c r="R199" s="5">
        <v>100</v>
      </c>
      <c r="S199" s="5" t="str">
        <f t="shared" si="13"/>
        <v>Aprobado</v>
      </c>
      <c r="T199" s="5">
        <f t="shared" si="14"/>
        <v>100</v>
      </c>
      <c r="U199" s="5" t="str">
        <f t="shared" si="15"/>
        <v>Supera los requisitos</v>
      </c>
      <c r="V199" s="5" t="s">
        <v>563</v>
      </c>
      <c r="W199" s="5" t="s">
        <v>157</v>
      </c>
      <c r="X199" s="5"/>
      <c r="Y199" s="5" t="s">
        <v>355</v>
      </c>
      <c r="Z199" s="5"/>
    </row>
    <row r="200" spans="1:26" ht="90" x14ac:dyDescent="0.25">
      <c r="A200" s="5" t="s">
        <v>123</v>
      </c>
      <c r="B200" s="5" t="s">
        <v>120</v>
      </c>
      <c r="C200" s="5" t="s">
        <v>122</v>
      </c>
      <c r="D200" s="5" t="s">
        <v>315</v>
      </c>
      <c r="E200" s="5" t="s">
        <v>213</v>
      </c>
      <c r="F200" s="5" t="s">
        <v>341</v>
      </c>
      <c r="G200" s="5" t="s">
        <v>342</v>
      </c>
      <c r="H200" s="5" t="s">
        <v>343</v>
      </c>
      <c r="I200" s="5" t="s">
        <v>344</v>
      </c>
      <c r="J200" s="5" t="s">
        <v>345</v>
      </c>
      <c r="K200" s="5" t="s">
        <v>346</v>
      </c>
      <c r="L200" s="5">
        <v>5</v>
      </c>
      <c r="M200" s="5">
        <v>5</v>
      </c>
      <c r="N200" s="5" t="s">
        <v>347</v>
      </c>
      <c r="O200" s="5">
        <f t="shared" si="12"/>
        <v>100</v>
      </c>
      <c r="P200" s="5" t="s">
        <v>152</v>
      </c>
      <c r="Q200" s="5" t="s">
        <v>153</v>
      </c>
      <c r="R200" s="5">
        <v>100</v>
      </c>
      <c r="S200" s="5" t="str">
        <f t="shared" si="13"/>
        <v>Aprobado</v>
      </c>
      <c r="T200" s="5">
        <f t="shared" si="14"/>
        <v>100</v>
      </c>
      <c r="U200" s="5" t="str">
        <f t="shared" si="15"/>
        <v>Supera los requisitos</v>
      </c>
      <c r="V200" s="5" t="s">
        <v>453</v>
      </c>
      <c r="W200" s="5" t="s">
        <v>214</v>
      </c>
      <c r="X200" s="5"/>
      <c r="Y200" s="5" t="s">
        <v>355</v>
      </c>
      <c r="Z200" s="5"/>
    </row>
    <row r="201" spans="1:26" ht="90" x14ac:dyDescent="0.25">
      <c r="A201" s="5" t="s">
        <v>123</v>
      </c>
      <c r="B201" s="5" t="s">
        <v>120</v>
      </c>
      <c r="C201" s="5" t="s">
        <v>122</v>
      </c>
      <c r="D201" s="5" t="s">
        <v>315</v>
      </c>
      <c r="E201" s="5" t="s">
        <v>213</v>
      </c>
      <c r="F201" s="5" t="s">
        <v>351</v>
      </c>
      <c r="G201" s="5" t="s">
        <v>352</v>
      </c>
      <c r="H201" s="5" t="s">
        <v>353</v>
      </c>
      <c r="I201" s="5" t="s">
        <v>344</v>
      </c>
      <c r="J201" s="5" t="s">
        <v>345</v>
      </c>
      <c r="K201" s="5" t="s">
        <v>346</v>
      </c>
      <c r="L201" s="5">
        <v>5</v>
      </c>
      <c r="M201" s="5">
        <v>5</v>
      </c>
      <c r="N201" s="5" t="s">
        <v>347</v>
      </c>
      <c r="O201" s="5">
        <f t="shared" si="12"/>
        <v>100</v>
      </c>
      <c r="P201" s="5" t="s">
        <v>152</v>
      </c>
      <c r="Q201" s="5" t="s">
        <v>153</v>
      </c>
      <c r="R201" s="5">
        <v>100</v>
      </c>
      <c r="S201" s="5" t="str">
        <f t="shared" si="13"/>
        <v>Aprobado</v>
      </c>
      <c r="T201" s="5">
        <f t="shared" si="14"/>
        <v>100</v>
      </c>
      <c r="U201" s="5" t="str">
        <f t="shared" si="15"/>
        <v>Supera los requisitos</v>
      </c>
      <c r="V201" s="5" t="s">
        <v>454</v>
      </c>
      <c r="W201" s="5" t="s">
        <v>214</v>
      </c>
      <c r="X201" s="5"/>
      <c r="Y201" s="5" t="s">
        <v>355</v>
      </c>
      <c r="Z201" s="5"/>
    </row>
    <row r="202" spans="1:26" ht="90" x14ac:dyDescent="0.25">
      <c r="A202" s="5" t="s">
        <v>123</v>
      </c>
      <c r="B202" s="5" t="s">
        <v>120</v>
      </c>
      <c r="C202" s="5" t="s">
        <v>122</v>
      </c>
      <c r="D202" s="5" t="s">
        <v>315</v>
      </c>
      <c r="E202" s="5" t="s">
        <v>213</v>
      </c>
      <c r="F202" s="5" t="s">
        <v>356</v>
      </c>
      <c r="G202" s="5" t="s">
        <v>357</v>
      </c>
      <c r="H202" s="5" t="s">
        <v>358</v>
      </c>
      <c r="I202" s="5" t="s">
        <v>344</v>
      </c>
      <c r="J202" s="5" t="s">
        <v>345</v>
      </c>
      <c r="K202" s="5" t="s">
        <v>346</v>
      </c>
      <c r="L202" s="5">
        <v>5</v>
      </c>
      <c r="M202" s="5">
        <v>5</v>
      </c>
      <c r="N202" s="5" t="s">
        <v>347</v>
      </c>
      <c r="O202" s="5">
        <f t="shared" si="12"/>
        <v>100</v>
      </c>
      <c r="P202" s="5" t="s">
        <v>152</v>
      </c>
      <c r="Q202" s="5" t="s">
        <v>153</v>
      </c>
      <c r="R202" s="5">
        <v>100</v>
      </c>
      <c r="S202" s="5" t="str">
        <f t="shared" si="13"/>
        <v>Aprobado</v>
      </c>
      <c r="T202" s="5">
        <f t="shared" si="14"/>
        <v>100</v>
      </c>
      <c r="U202" s="5" t="str">
        <f t="shared" si="15"/>
        <v>Supera los requisitos</v>
      </c>
      <c r="V202" s="5" t="s">
        <v>455</v>
      </c>
      <c r="W202" s="5" t="s">
        <v>214</v>
      </c>
      <c r="X202" s="5"/>
      <c r="Y202" s="5" t="s">
        <v>355</v>
      </c>
      <c r="Z202" s="5"/>
    </row>
    <row r="203" spans="1:26" ht="90" x14ac:dyDescent="0.25">
      <c r="A203" s="5" t="s">
        <v>123</v>
      </c>
      <c r="B203" s="5" t="s">
        <v>120</v>
      </c>
      <c r="C203" s="5" t="s">
        <v>122</v>
      </c>
      <c r="D203" s="5" t="s">
        <v>315</v>
      </c>
      <c r="E203" s="5" t="s">
        <v>213</v>
      </c>
      <c r="F203" s="5" t="s">
        <v>360</v>
      </c>
      <c r="G203" s="5" t="s">
        <v>361</v>
      </c>
      <c r="H203" s="5" t="s">
        <v>362</v>
      </c>
      <c r="I203" s="5" t="s">
        <v>344</v>
      </c>
      <c r="J203" s="5" t="s">
        <v>345</v>
      </c>
      <c r="K203" s="5" t="s">
        <v>346</v>
      </c>
      <c r="L203" s="5">
        <v>5</v>
      </c>
      <c r="M203" s="5">
        <v>5</v>
      </c>
      <c r="N203" s="5" t="s">
        <v>347</v>
      </c>
      <c r="O203" s="5">
        <f t="shared" si="12"/>
        <v>100</v>
      </c>
      <c r="P203" s="5" t="s">
        <v>152</v>
      </c>
      <c r="Q203" s="5" t="s">
        <v>153</v>
      </c>
      <c r="R203" s="5">
        <v>100</v>
      </c>
      <c r="S203" s="5" t="str">
        <f t="shared" si="13"/>
        <v>Aprobado</v>
      </c>
      <c r="T203" s="5">
        <f t="shared" si="14"/>
        <v>100</v>
      </c>
      <c r="U203" s="5" t="str">
        <f t="shared" si="15"/>
        <v>Supera los requisitos</v>
      </c>
      <c r="V203" s="5" t="s">
        <v>456</v>
      </c>
      <c r="W203" s="5" t="s">
        <v>214</v>
      </c>
      <c r="X203" s="5"/>
      <c r="Y203" s="5" t="s">
        <v>355</v>
      </c>
      <c r="Z203" s="5"/>
    </row>
    <row r="204" spans="1:26" ht="90" x14ac:dyDescent="0.25">
      <c r="A204" s="5" t="s">
        <v>123</v>
      </c>
      <c r="B204" s="5" t="s">
        <v>120</v>
      </c>
      <c r="C204" s="5" t="s">
        <v>122</v>
      </c>
      <c r="D204" s="5" t="s">
        <v>315</v>
      </c>
      <c r="E204" s="5" t="s">
        <v>213</v>
      </c>
      <c r="F204" s="5" t="s">
        <v>364</v>
      </c>
      <c r="G204" s="5" t="s">
        <v>365</v>
      </c>
      <c r="H204" s="5" t="s">
        <v>366</v>
      </c>
      <c r="I204" s="5" t="s">
        <v>344</v>
      </c>
      <c r="J204" s="5" t="s">
        <v>345</v>
      </c>
      <c r="K204" s="5" t="s">
        <v>346</v>
      </c>
      <c r="L204" s="5">
        <v>5</v>
      </c>
      <c r="M204" s="5">
        <v>5</v>
      </c>
      <c r="N204" s="5" t="s">
        <v>347</v>
      </c>
      <c r="O204" s="5">
        <f t="shared" si="12"/>
        <v>100</v>
      </c>
      <c r="P204" s="5" t="s">
        <v>152</v>
      </c>
      <c r="Q204" s="5" t="s">
        <v>153</v>
      </c>
      <c r="R204" s="5">
        <v>100</v>
      </c>
      <c r="S204" s="5" t="str">
        <f t="shared" si="13"/>
        <v>Aprobado</v>
      </c>
      <c r="T204" s="5">
        <f t="shared" si="14"/>
        <v>100</v>
      </c>
      <c r="U204" s="5" t="str">
        <f t="shared" si="15"/>
        <v>Supera los requisitos</v>
      </c>
      <c r="V204" s="5" t="s">
        <v>457</v>
      </c>
      <c r="W204" s="5" t="s">
        <v>214</v>
      </c>
      <c r="X204" s="5"/>
      <c r="Y204" s="5" t="s">
        <v>355</v>
      </c>
      <c r="Z204" s="5"/>
    </row>
    <row r="205" spans="1:26" ht="90" x14ac:dyDescent="0.25">
      <c r="A205" s="5" t="s">
        <v>123</v>
      </c>
      <c r="B205" s="5" t="s">
        <v>120</v>
      </c>
      <c r="C205" s="5" t="s">
        <v>122</v>
      </c>
      <c r="D205" s="5" t="s">
        <v>315</v>
      </c>
      <c r="E205" s="5" t="s">
        <v>213</v>
      </c>
      <c r="F205" s="5" t="s">
        <v>368</v>
      </c>
      <c r="G205" s="5" t="s">
        <v>369</v>
      </c>
      <c r="H205" s="5" t="s">
        <v>370</v>
      </c>
      <c r="I205" s="5" t="s">
        <v>344</v>
      </c>
      <c r="J205" s="5" t="s">
        <v>345</v>
      </c>
      <c r="K205" s="5" t="s">
        <v>346</v>
      </c>
      <c r="L205" s="5">
        <v>5</v>
      </c>
      <c r="M205" s="5">
        <v>5</v>
      </c>
      <c r="N205" s="5" t="s">
        <v>347</v>
      </c>
      <c r="O205" s="5">
        <f t="shared" si="12"/>
        <v>100</v>
      </c>
      <c r="P205" s="5" t="s">
        <v>152</v>
      </c>
      <c r="Q205" s="5" t="s">
        <v>153</v>
      </c>
      <c r="R205" s="5">
        <v>100</v>
      </c>
      <c r="S205" s="5" t="str">
        <f t="shared" si="13"/>
        <v>Aprobado</v>
      </c>
      <c r="T205" s="5">
        <f t="shared" si="14"/>
        <v>100</v>
      </c>
      <c r="U205" s="5" t="str">
        <f t="shared" si="15"/>
        <v>Supera los requisitos</v>
      </c>
      <c r="V205" s="5" t="s">
        <v>458</v>
      </c>
      <c r="W205" s="5" t="s">
        <v>214</v>
      </c>
      <c r="X205" s="5"/>
      <c r="Y205" s="5" t="s">
        <v>355</v>
      </c>
      <c r="Z205" s="5"/>
    </row>
    <row r="206" spans="1:26" ht="90" x14ac:dyDescent="0.25">
      <c r="A206" s="5" t="s">
        <v>123</v>
      </c>
      <c r="B206" s="5" t="s">
        <v>120</v>
      </c>
      <c r="C206" s="5" t="s">
        <v>122</v>
      </c>
      <c r="D206" s="5" t="s">
        <v>315</v>
      </c>
      <c r="E206" s="5" t="s">
        <v>213</v>
      </c>
      <c r="F206" s="5" t="s">
        <v>372</v>
      </c>
      <c r="G206" s="5" t="s">
        <v>373</v>
      </c>
      <c r="H206" s="5" t="s">
        <v>374</v>
      </c>
      <c r="I206" s="5" t="s">
        <v>344</v>
      </c>
      <c r="J206" s="5" t="s">
        <v>345</v>
      </c>
      <c r="K206" s="5" t="s">
        <v>346</v>
      </c>
      <c r="L206" s="5">
        <v>5</v>
      </c>
      <c r="M206" s="5">
        <v>5</v>
      </c>
      <c r="N206" s="5" t="s">
        <v>347</v>
      </c>
      <c r="O206" s="5">
        <f t="shared" si="12"/>
        <v>100</v>
      </c>
      <c r="P206" s="5" t="s">
        <v>152</v>
      </c>
      <c r="Q206" s="5" t="s">
        <v>153</v>
      </c>
      <c r="R206" s="5">
        <v>100</v>
      </c>
      <c r="S206" s="5" t="str">
        <f t="shared" si="13"/>
        <v>Aprobado</v>
      </c>
      <c r="T206" s="5">
        <f t="shared" si="14"/>
        <v>100</v>
      </c>
      <c r="U206" s="5" t="str">
        <f t="shared" si="15"/>
        <v>Supera los requisitos</v>
      </c>
      <c r="V206" s="5" t="s">
        <v>459</v>
      </c>
      <c r="W206" s="5" t="s">
        <v>214</v>
      </c>
      <c r="X206" s="5"/>
      <c r="Y206" s="5" t="s">
        <v>355</v>
      </c>
      <c r="Z206" s="5"/>
    </row>
    <row r="207" spans="1:26" ht="90" x14ac:dyDescent="0.25">
      <c r="A207" s="5" t="s">
        <v>123</v>
      </c>
      <c r="B207" s="5" t="s">
        <v>120</v>
      </c>
      <c r="C207" s="5" t="s">
        <v>122</v>
      </c>
      <c r="D207" s="5" t="s">
        <v>315</v>
      </c>
      <c r="E207" s="5" t="s">
        <v>213</v>
      </c>
      <c r="F207" s="5" t="s">
        <v>378</v>
      </c>
      <c r="G207" s="5" t="s">
        <v>379</v>
      </c>
      <c r="H207" s="5" t="s">
        <v>380</v>
      </c>
      <c r="I207" s="5" t="s">
        <v>344</v>
      </c>
      <c r="J207" s="5" t="s">
        <v>345</v>
      </c>
      <c r="K207" s="5" t="s">
        <v>346</v>
      </c>
      <c r="L207" s="5">
        <v>5</v>
      </c>
      <c r="M207" s="5">
        <v>5</v>
      </c>
      <c r="N207" s="5" t="s">
        <v>347</v>
      </c>
      <c r="O207" s="5">
        <f t="shared" si="12"/>
        <v>100</v>
      </c>
      <c r="P207" s="5" t="s">
        <v>152</v>
      </c>
      <c r="Q207" s="5" t="s">
        <v>153</v>
      </c>
      <c r="R207" s="5">
        <v>100</v>
      </c>
      <c r="S207" s="5" t="str">
        <f t="shared" si="13"/>
        <v>Aprobado</v>
      </c>
      <c r="T207" s="5">
        <f t="shared" si="14"/>
        <v>100</v>
      </c>
      <c r="U207" s="5" t="str">
        <f t="shared" si="15"/>
        <v>Supera los requisitos</v>
      </c>
      <c r="V207" s="5" t="s">
        <v>460</v>
      </c>
      <c r="W207" s="5" t="s">
        <v>214</v>
      </c>
      <c r="X207" s="5"/>
      <c r="Y207" s="5" t="s">
        <v>355</v>
      </c>
      <c r="Z207" s="5"/>
    </row>
    <row r="208" spans="1:26" ht="90" x14ac:dyDescent="0.25">
      <c r="A208" s="5" t="s">
        <v>123</v>
      </c>
      <c r="B208" s="5" t="s">
        <v>120</v>
      </c>
      <c r="C208" s="5" t="s">
        <v>122</v>
      </c>
      <c r="D208" s="5" t="s">
        <v>315</v>
      </c>
      <c r="E208" s="5" t="s">
        <v>213</v>
      </c>
      <c r="F208" s="5" t="s">
        <v>384</v>
      </c>
      <c r="G208" s="5" t="s">
        <v>385</v>
      </c>
      <c r="H208" s="5" t="s">
        <v>386</v>
      </c>
      <c r="I208" s="5" t="s">
        <v>344</v>
      </c>
      <c r="J208" s="5" t="s">
        <v>345</v>
      </c>
      <c r="K208" s="5" t="s">
        <v>346</v>
      </c>
      <c r="L208" s="5">
        <v>5</v>
      </c>
      <c r="M208" s="5">
        <v>5</v>
      </c>
      <c r="N208" s="5" t="s">
        <v>347</v>
      </c>
      <c r="O208" s="5">
        <f t="shared" si="12"/>
        <v>100</v>
      </c>
      <c r="P208" s="5" t="s">
        <v>152</v>
      </c>
      <c r="Q208" s="5" t="s">
        <v>153</v>
      </c>
      <c r="R208" s="5">
        <v>100</v>
      </c>
      <c r="S208" s="5" t="str">
        <f t="shared" si="13"/>
        <v>Aprobado</v>
      </c>
      <c r="T208" s="5">
        <f t="shared" si="14"/>
        <v>100</v>
      </c>
      <c r="U208" s="5" t="str">
        <f t="shared" si="15"/>
        <v>Supera los requisitos</v>
      </c>
      <c r="V208" s="5" t="s">
        <v>461</v>
      </c>
      <c r="W208" s="5" t="s">
        <v>214</v>
      </c>
      <c r="X208" s="5"/>
      <c r="Y208" s="5" t="s">
        <v>355</v>
      </c>
      <c r="Z208" s="5"/>
    </row>
    <row r="209" spans="1:26" ht="90" x14ac:dyDescent="0.25">
      <c r="A209" s="5" t="s">
        <v>125</v>
      </c>
      <c r="B209" s="5" t="s">
        <v>120</v>
      </c>
      <c r="C209" s="5" t="s">
        <v>124</v>
      </c>
      <c r="D209" s="5" t="s">
        <v>315</v>
      </c>
      <c r="E209" s="5" t="s">
        <v>255</v>
      </c>
      <c r="F209" s="5" t="s">
        <v>341</v>
      </c>
      <c r="G209" s="5" t="s">
        <v>342</v>
      </c>
      <c r="H209" s="5" t="s">
        <v>343</v>
      </c>
      <c r="I209" s="5" t="s">
        <v>344</v>
      </c>
      <c r="J209" s="5" t="s">
        <v>345</v>
      </c>
      <c r="K209" s="5" t="s">
        <v>346</v>
      </c>
      <c r="L209" s="5">
        <v>4</v>
      </c>
      <c r="M209" s="5">
        <v>4</v>
      </c>
      <c r="N209" s="5" t="s">
        <v>347</v>
      </c>
      <c r="O209" s="5">
        <f t="shared" si="12"/>
        <v>100</v>
      </c>
      <c r="P209" s="5" t="s">
        <v>152</v>
      </c>
      <c r="Q209" s="5" t="s">
        <v>153</v>
      </c>
      <c r="R209" s="5">
        <v>100</v>
      </c>
      <c r="S209" s="5" t="str">
        <f t="shared" si="13"/>
        <v>Aprobado</v>
      </c>
      <c r="T209" s="5">
        <f t="shared" si="14"/>
        <v>100</v>
      </c>
      <c r="U209" s="5" t="str">
        <f t="shared" si="15"/>
        <v>Supera los requisitos</v>
      </c>
      <c r="V209" s="5" t="s">
        <v>507</v>
      </c>
      <c r="W209" s="5" t="s">
        <v>214</v>
      </c>
      <c r="X209" s="5"/>
      <c r="Y209" s="5" t="s">
        <v>355</v>
      </c>
      <c r="Z209" s="5"/>
    </row>
    <row r="210" spans="1:26" ht="90" x14ac:dyDescent="0.25">
      <c r="A210" s="5" t="s">
        <v>125</v>
      </c>
      <c r="B210" s="5" t="s">
        <v>120</v>
      </c>
      <c r="C210" s="5" t="s">
        <v>124</v>
      </c>
      <c r="D210" s="5" t="s">
        <v>315</v>
      </c>
      <c r="E210" s="5" t="s">
        <v>255</v>
      </c>
      <c r="F210" s="5" t="s">
        <v>351</v>
      </c>
      <c r="G210" s="5" t="s">
        <v>352</v>
      </c>
      <c r="H210" s="5" t="s">
        <v>353</v>
      </c>
      <c r="I210" s="5" t="s">
        <v>344</v>
      </c>
      <c r="J210" s="5" t="s">
        <v>345</v>
      </c>
      <c r="K210" s="5" t="s">
        <v>346</v>
      </c>
      <c r="L210" s="5">
        <v>4</v>
      </c>
      <c r="M210" s="5">
        <v>4</v>
      </c>
      <c r="N210" s="5" t="s">
        <v>347</v>
      </c>
      <c r="O210" s="5">
        <f t="shared" si="12"/>
        <v>100</v>
      </c>
      <c r="P210" s="5" t="s">
        <v>152</v>
      </c>
      <c r="Q210" s="5" t="s">
        <v>153</v>
      </c>
      <c r="R210" s="5">
        <v>100</v>
      </c>
      <c r="S210" s="5" t="str">
        <f t="shared" si="13"/>
        <v>Aprobado</v>
      </c>
      <c r="T210" s="5">
        <f t="shared" si="14"/>
        <v>100</v>
      </c>
      <c r="U210" s="5" t="str">
        <f t="shared" si="15"/>
        <v>Supera los requisitos</v>
      </c>
      <c r="V210" s="5" t="s">
        <v>508</v>
      </c>
      <c r="W210" s="5" t="s">
        <v>214</v>
      </c>
      <c r="X210" s="5"/>
      <c r="Y210" s="5" t="s">
        <v>355</v>
      </c>
      <c r="Z210" s="5"/>
    </row>
    <row r="211" spans="1:26" ht="90" x14ac:dyDescent="0.25">
      <c r="A211" s="5" t="s">
        <v>125</v>
      </c>
      <c r="B211" s="5" t="s">
        <v>120</v>
      </c>
      <c r="C211" s="5" t="s">
        <v>124</v>
      </c>
      <c r="D211" s="5" t="s">
        <v>315</v>
      </c>
      <c r="E211" s="5" t="s">
        <v>255</v>
      </c>
      <c r="F211" s="5" t="s">
        <v>356</v>
      </c>
      <c r="G211" s="5" t="s">
        <v>357</v>
      </c>
      <c r="H211" s="5" t="s">
        <v>358</v>
      </c>
      <c r="I211" s="5" t="s">
        <v>344</v>
      </c>
      <c r="J211" s="5" t="s">
        <v>345</v>
      </c>
      <c r="K211" s="5" t="s">
        <v>346</v>
      </c>
      <c r="L211" s="5">
        <v>4</v>
      </c>
      <c r="M211" s="5">
        <v>4</v>
      </c>
      <c r="N211" s="5" t="s">
        <v>347</v>
      </c>
      <c r="O211" s="5">
        <f t="shared" si="12"/>
        <v>100</v>
      </c>
      <c r="P211" s="5" t="s">
        <v>152</v>
      </c>
      <c r="Q211" s="5" t="s">
        <v>153</v>
      </c>
      <c r="R211" s="5">
        <v>100</v>
      </c>
      <c r="S211" s="5" t="str">
        <f t="shared" si="13"/>
        <v>Aprobado</v>
      </c>
      <c r="T211" s="5">
        <f t="shared" si="14"/>
        <v>100</v>
      </c>
      <c r="U211" s="5" t="str">
        <f t="shared" si="15"/>
        <v>Supera los requisitos</v>
      </c>
      <c r="V211" s="5" t="s">
        <v>509</v>
      </c>
      <c r="W211" s="5" t="s">
        <v>214</v>
      </c>
      <c r="X211" s="5"/>
      <c r="Y211" s="5" t="s">
        <v>355</v>
      </c>
      <c r="Z211" s="5"/>
    </row>
    <row r="212" spans="1:26" ht="90" x14ac:dyDescent="0.25">
      <c r="A212" s="5" t="s">
        <v>125</v>
      </c>
      <c r="B212" s="5" t="s">
        <v>120</v>
      </c>
      <c r="C212" s="5" t="s">
        <v>124</v>
      </c>
      <c r="D212" s="5" t="s">
        <v>315</v>
      </c>
      <c r="E212" s="5" t="s">
        <v>255</v>
      </c>
      <c r="F212" s="5" t="s">
        <v>360</v>
      </c>
      <c r="G212" s="5" t="s">
        <v>361</v>
      </c>
      <c r="H212" s="5" t="s">
        <v>362</v>
      </c>
      <c r="I212" s="5" t="s">
        <v>344</v>
      </c>
      <c r="J212" s="5" t="s">
        <v>345</v>
      </c>
      <c r="K212" s="5" t="s">
        <v>346</v>
      </c>
      <c r="L212" s="5">
        <v>4</v>
      </c>
      <c r="M212" s="5">
        <v>4</v>
      </c>
      <c r="N212" s="5" t="s">
        <v>347</v>
      </c>
      <c r="O212" s="5">
        <f t="shared" si="12"/>
        <v>100</v>
      </c>
      <c r="P212" s="5" t="s">
        <v>152</v>
      </c>
      <c r="Q212" s="5" t="s">
        <v>153</v>
      </c>
      <c r="R212" s="5">
        <v>100</v>
      </c>
      <c r="S212" s="5" t="str">
        <f t="shared" si="13"/>
        <v>Aprobado</v>
      </c>
      <c r="T212" s="5">
        <f t="shared" si="14"/>
        <v>100</v>
      </c>
      <c r="U212" s="5" t="str">
        <f t="shared" si="15"/>
        <v>Supera los requisitos</v>
      </c>
      <c r="V212" s="5" t="s">
        <v>510</v>
      </c>
      <c r="W212" s="5" t="s">
        <v>214</v>
      </c>
      <c r="X212" s="5"/>
      <c r="Y212" s="5" t="s">
        <v>355</v>
      </c>
      <c r="Z212" s="5"/>
    </row>
    <row r="213" spans="1:26" ht="90" x14ac:dyDescent="0.25">
      <c r="A213" s="5" t="s">
        <v>125</v>
      </c>
      <c r="B213" s="5" t="s">
        <v>120</v>
      </c>
      <c r="C213" s="5" t="s">
        <v>124</v>
      </c>
      <c r="D213" s="5" t="s">
        <v>315</v>
      </c>
      <c r="E213" s="5" t="s">
        <v>255</v>
      </c>
      <c r="F213" s="5" t="s">
        <v>364</v>
      </c>
      <c r="G213" s="5" t="s">
        <v>365</v>
      </c>
      <c r="H213" s="5" t="s">
        <v>366</v>
      </c>
      <c r="I213" s="5" t="s">
        <v>344</v>
      </c>
      <c r="J213" s="5" t="s">
        <v>345</v>
      </c>
      <c r="K213" s="5" t="s">
        <v>346</v>
      </c>
      <c r="L213" s="5">
        <v>4</v>
      </c>
      <c r="M213" s="5">
        <v>4</v>
      </c>
      <c r="N213" s="5" t="s">
        <v>347</v>
      </c>
      <c r="O213" s="5">
        <f t="shared" si="12"/>
        <v>100</v>
      </c>
      <c r="P213" s="5" t="s">
        <v>152</v>
      </c>
      <c r="Q213" s="5" t="s">
        <v>153</v>
      </c>
      <c r="R213" s="5">
        <v>100</v>
      </c>
      <c r="S213" s="5" t="str">
        <f t="shared" si="13"/>
        <v>Aprobado</v>
      </c>
      <c r="T213" s="5">
        <f t="shared" si="14"/>
        <v>100</v>
      </c>
      <c r="U213" s="5" t="str">
        <f t="shared" si="15"/>
        <v>Supera los requisitos</v>
      </c>
      <c r="V213" s="5" t="s">
        <v>511</v>
      </c>
      <c r="W213" s="5" t="s">
        <v>214</v>
      </c>
      <c r="X213" s="5"/>
      <c r="Y213" s="5" t="s">
        <v>355</v>
      </c>
      <c r="Z213" s="5"/>
    </row>
    <row r="214" spans="1:26" ht="90" x14ac:dyDescent="0.25">
      <c r="A214" s="5" t="s">
        <v>125</v>
      </c>
      <c r="B214" s="5" t="s">
        <v>120</v>
      </c>
      <c r="C214" s="5" t="s">
        <v>124</v>
      </c>
      <c r="D214" s="5" t="s">
        <v>315</v>
      </c>
      <c r="E214" s="5" t="s">
        <v>255</v>
      </c>
      <c r="F214" s="5" t="s">
        <v>368</v>
      </c>
      <c r="G214" s="5" t="s">
        <v>369</v>
      </c>
      <c r="H214" s="5" t="s">
        <v>370</v>
      </c>
      <c r="I214" s="5" t="s">
        <v>344</v>
      </c>
      <c r="J214" s="5" t="s">
        <v>345</v>
      </c>
      <c r="K214" s="5" t="s">
        <v>346</v>
      </c>
      <c r="L214" s="5">
        <v>4</v>
      </c>
      <c r="M214" s="5">
        <v>4</v>
      </c>
      <c r="N214" s="5" t="s">
        <v>347</v>
      </c>
      <c r="O214" s="5">
        <f t="shared" si="12"/>
        <v>100</v>
      </c>
      <c r="P214" s="5" t="s">
        <v>152</v>
      </c>
      <c r="Q214" s="5" t="s">
        <v>153</v>
      </c>
      <c r="R214" s="5">
        <v>100</v>
      </c>
      <c r="S214" s="5" t="str">
        <f t="shared" si="13"/>
        <v>Aprobado</v>
      </c>
      <c r="T214" s="5">
        <f t="shared" si="14"/>
        <v>100</v>
      </c>
      <c r="U214" s="5" t="str">
        <f t="shared" si="15"/>
        <v>Supera los requisitos</v>
      </c>
      <c r="V214" s="5" t="s">
        <v>512</v>
      </c>
      <c r="W214" s="5" t="s">
        <v>214</v>
      </c>
      <c r="X214" s="5"/>
      <c r="Y214" s="5" t="s">
        <v>355</v>
      </c>
      <c r="Z214" s="5"/>
    </row>
    <row r="215" spans="1:26" ht="90" x14ac:dyDescent="0.25">
      <c r="A215" s="5" t="s">
        <v>125</v>
      </c>
      <c r="B215" s="5" t="s">
        <v>120</v>
      </c>
      <c r="C215" s="5" t="s">
        <v>124</v>
      </c>
      <c r="D215" s="5" t="s">
        <v>315</v>
      </c>
      <c r="E215" s="5" t="s">
        <v>255</v>
      </c>
      <c r="F215" s="5" t="s">
        <v>372</v>
      </c>
      <c r="G215" s="5" t="s">
        <v>373</v>
      </c>
      <c r="H215" s="5" t="s">
        <v>374</v>
      </c>
      <c r="I215" s="5" t="s">
        <v>344</v>
      </c>
      <c r="J215" s="5" t="s">
        <v>345</v>
      </c>
      <c r="K215" s="5" t="s">
        <v>346</v>
      </c>
      <c r="L215" s="5">
        <v>4</v>
      </c>
      <c r="M215" s="5">
        <v>4</v>
      </c>
      <c r="N215" s="5" t="s">
        <v>347</v>
      </c>
      <c r="O215" s="5">
        <f t="shared" si="12"/>
        <v>100</v>
      </c>
      <c r="P215" s="5" t="s">
        <v>152</v>
      </c>
      <c r="Q215" s="5" t="s">
        <v>153</v>
      </c>
      <c r="R215" s="5">
        <v>100</v>
      </c>
      <c r="S215" s="5" t="str">
        <f t="shared" si="13"/>
        <v>Aprobado</v>
      </c>
      <c r="T215" s="5">
        <f t="shared" si="14"/>
        <v>100</v>
      </c>
      <c r="U215" s="5" t="str">
        <f t="shared" si="15"/>
        <v>Supera los requisitos</v>
      </c>
      <c r="V215" s="5" t="s">
        <v>513</v>
      </c>
      <c r="W215" s="5" t="s">
        <v>214</v>
      </c>
      <c r="X215" s="5"/>
      <c r="Y215" s="5" t="s">
        <v>355</v>
      </c>
      <c r="Z215" s="5"/>
    </row>
    <row r="216" spans="1:26" ht="90" x14ac:dyDescent="0.25">
      <c r="A216" s="5" t="s">
        <v>125</v>
      </c>
      <c r="B216" s="5" t="s">
        <v>120</v>
      </c>
      <c r="C216" s="5" t="s">
        <v>124</v>
      </c>
      <c r="D216" s="5" t="s">
        <v>315</v>
      </c>
      <c r="E216" s="5" t="s">
        <v>255</v>
      </c>
      <c r="F216" s="5" t="s">
        <v>378</v>
      </c>
      <c r="G216" s="5" t="s">
        <v>379</v>
      </c>
      <c r="H216" s="5" t="s">
        <v>380</v>
      </c>
      <c r="I216" s="5" t="s">
        <v>344</v>
      </c>
      <c r="J216" s="5" t="s">
        <v>345</v>
      </c>
      <c r="K216" s="5" t="s">
        <v>346</v>
      </c>
      <c r="L216" s="5">
        <v>4</v>
      </c>
      <c r="M216" s="5">
        <v>4</v>
      </c>
      <c r="N216" s="5" t="s">
        <v>347</v>
      </c>
      <c r="O216" s="5">
        <f t="shared" si="12"/>
        <v>100</v>
      </c>
      <c r="P216" s="5" t="s">
        <v>152</v>
      </c>
      <c r="Q216" s="5" t="s">
        <v>153</v>
      </c>
      <c r="R216" s="5">
        <v>100</v>
      </c>
      <c r="S216" s="5" t="str">
        <f t="shared" si="13"/>
        <v>Aprobado</v>
      </c>
      <c r="T216" s="5">
        <f t="shared" si="14"/>
        <v>100</v>
      </c>
      <c r="U216" s="5" t="str">
        <f t="shared" si="15"/>
        <v>Supera los requisitos</v>
      </c>
      <c r="V216" s="5" t="s">
        <v>514</v>
      </c>
      <c r="W216" s="5" t="s">
        <v>214</v>
      </c>
      <c r="X216" s="5"/>
      <c r="Y216" s="5" t="s">
        <v>355</v>
      </c>
      <c r="Z216" s="5"/>
    </row>
    <row r="217" spans="1:26" ht="90" x14ac:dyDescent="0.25">
      <c r="A217" s="5" t="s">
        <v>125</v>
      </c>
      <c r="B217" s="5" t="s">
        <v>120</v>
      </c>
      <c r="C217" s="5" t="s">
        <v>124</v>
      </c>
      <c r="D217" s="5" t="s">
        <v>315</v>
      </c>
      <c r="E217" s="5" t="s">
        <v>255</v>
      </c>
      <c r="F217" s="5" t="s">
        <v>384</v>
      </c>
      <c r="G217" s="5" t="s">
        <v>385</v>
      </c>
      <c r="H217" s="5" t="s">
        <v>386</v>
      </c>
      <c r="I217" s="5" t="s">
        <v>344</v>
      </c>
      <c r="J217" s="5" t="s">
        <v>345</v>
      </c>
      <c r="K217" s="5" t="s">
        <v>346</v>
      </c>
      <c r="L217" s="5">
        <v>4</v>
      </c>
      <c r="M217" s="5">
        <v>4</v>
      </c>
      <c r="N217" s="5" t="s">
        <v>347</v>
      </c>
      <c r="O217" s="5">
        <f t="shared" si="12"/>
        <v>100</v>
      </c>
      <c r="P217" s="5" t="s">
        <v>152</v>
      </c>
      <c r="Q217" s="5" t="s">
        <v>153</v>
      </c>
      <c r="R217" s="5">
        <v>100</v>
      </c>
      <c r="S217" s="5" t="str">
        <f t="shared" si="13"/>
        <v>Aprobado</v>
      </c>
      <c r="T217" s="5">
        <f t="shared" si="14"/>
        <v>100</v>
      </c>
      <c r="U217" s="5" t="str">
        <f t="shared" si="15"/>
        <v>Supera los requisitos</v>
      </c>
      <c r="V217" s="5" t="s">
        <v>515</v>
      </c>
      <c r="W217" s="5" t="s">
        <v>214</v>
      </c>
      <c r="X217" s="5"/>
      <c r="Y217" s="5" t="s">
        <v>355</v>
      </c>
      <c r="Z217" s="5"/>
    </row>
    <row r="218" spans="1:26" ht="90" x14ac:dyDescent="0.25">
      <c r="A218" s="5" t="s">
        <v>127</v>
      </c>
      <c r="B218" s="5" t="s">
        <v>120</v>
      </c>
      <c r="C218" s="5" t="s">
        <v>126</v>
      </c>
      <c r="D218" s="5" t="s">
        <v>315</v>
      </c>
      <c r="E218" s="5" t="s">
        <v>213</v>
      </c>
      <c r="F218" s="5" t="s">
        <v>341</v>
      </c>
      <c r="G218" s="5" t="s">
        <v>342</v>
      </c>
      <c r="H218" s="5" t="s">
        <v>343</v>
      </c>
      <c r="I218" s="5" t="s">
        <v>344</v>
      </c>
      <c r="J218" s="5" t="s">
        <v>345</v>
      </c>
      <c r="K218" s="5" t="s">
        <v>346</v>
      </c>
      <c r="L218" s="5">
        <v>4</v>
      </c>
      <c r="M218" s="5">
        <v>4</v>
      </c>
      <c r="N218" s="5" t="s">
        <v>347</v>
      </c>
      <c r="O218" s="5">
        <f t="shared" si="12"/>
        <v>100</v>
      </c>
      <c r="P218" s="5" t="s">
        <v>152</v>
      </c>
      <c r="Q218" s="5" t="s">
        <v>153</v>
      </c>
      <c r="R218" s="5">
        <v>100</v>
      </c>
      <c r="S218" s="5" t="str">
        <f t="shared" si="13"/>
        <v>Aprobado</v>
      </c>
      <c r="T218" s="5">
        <f t="shared" si="14"/>
        <v>100</v>
      </c>
      <c r="U218" s="5" t="str">
        <f t="shared" si="15"/>
        <v>Supera los requisitos</v>
      </c>
      <c r="V218" s="5" t="s">
        <v>453</v>
      </c>
      <c r="W218" s="5" t="s">
        <v>214</v>
      </c>
      <c r="X218" s="5"/>
      <c r="Y218" s="5" t="s">
        <v>355</v>
      </c>
      <c r="Z218" s="5"/>
    </row>
    <row r="219" spans="1:26" ht="90" x14ac:dyDescent="0.25">
      <c r="A219" s="5" t="s">
        <v>127</v>
      </c>
      <c r="B219" s="5" t="s">
        <v>120</v>
      </c>
      <c r="C219" s="5" t="s">
        <v>126</v>
      </c>
      <c r="D219" s="5" t="s">
        <v>315</v>
      </c>
      <c r="E219" s="5" t="s">
        <v>213</v>
      </c>
      <c r="F219" s="5" t="s">
        <v>351</v>
      </c>
      <c r="G219" s="5" t="s">
        <v>352</v>
      </c>
      <c r="H219" s="5" t="s">
        <v>353</v>
      </c>
      <c r="I219" s="5" t="s">
        <v>344</v>
      </c>
      <c r="J219" s="5" t="s">
        <v>345</v>
      </c>
      <c r="K219" s="5" t="s">
        <v>346</v>
      </c>
      <c r="L219" s="5">
        <v>4</v>
      </c>
      <c r="M219" s="5">
        <v>4</v>
      </c>
      <c r="N219" s="5" t="s">
        <v>347</v>
      </c>
      <c r="O219" s="5">
        <f t="shared" si="12"/>
        <v>100</v>
      </c>
      <c r="P219" s="5" t="s">
        <v>152</v>
      </c>
      <c r="Q219" s="5" t="s">
        <v>153</v>
      </c>
      <c r="R219" s="5">
        <v>100</v>
      </c>
      <c r="S219" s="5" t="str">
        <f t="shared" si="13"/>
        <v>Aprobado</v>
      </c>
      <c r="T219" s="5">
        <f t="shared" si="14"/>
        <v>100</v>
      </c>
      <c r="U219" s="5" t="str">
        <f t="shared" si="15"/>
        <v>Supera los requisitos</v>
      </c>
      <c r="V219" s="5" t="s">
        <v>454</v>
      </c>
      <c r="W219" s="5" t="s">
        <v>214</v>
      </c>
      <c r="X219" s="5"/>
      <c r="Y219" s="5" t="s">
        <v>355</v>
      </c>
      <c r="Z219" s="5"/>
    </row>
    <row r="220" spans="1:26" ht="90" x14ac:dyDescent="0.25">
      <c r="A220" s="5" t="s">
        <v>127</v>
      </c>
      <c r="B220" s="5" t="s">
        <v>120</v>
      </c>
      <c r="C220" s="5" t="s">
        <v>126</v>
      </c>
      <c r="D220" s="5" t="s">
        <v>315</v>
      </c>
      <c r="E220" s="5" t="s">
        <v>213</v>
      </c>
      <c r="F220" s="5" t="s">
        <v>356</v>
      </c>
      <c r="G220" s="5" t="s">
        <v>357</v>
      </c>
      <c r="H220" s="5" t="s">
        <v>358</v>
      </c>
      <c r="I220" s="5" t="s">
        <v>344</v>
      </c>
      <c r="J220" s="5" t="s">
        <v>345</v>
      </c>
      <c r="K220" s="5" t="s">
        <v>346</v>
      </c>
      <c r="L220" s="5">
        <v>4</v>
      </c>
      <c r="M220" s="5">
        <v>4</v>
      </c>
      <c r="N220" s="5" t="s">
        <v>347</v>
      </c>
      <c r="O220" s="5">
        <f t="shared" si="12"/>
        <v>100</v>
      </c>
      <c r="P220" s="5" t="s">
        <v>152</v>
      </c>
      <c r="Q220" s="5" t="s">
        <v>153</v>
      </c>
      <c r="R220" s="5">
        <v>100</v>
      </c>
      <c r="S220" s="5" t="str">
        <f t="shared" si="13"/>
        <v>Aprobado</v>
      </c>
      <c r="T220" s="5">
        <f t="shared" si="14"/>
        <v>100</v>
      </c>
      <c r="U220" s="5" t="str">
        <f t="shared" si="15"/>
        <v>Supera los requisitos</v>
      </c>
      <c r="V220" s="5" t="s">
        <v>455</v>
      </c>
      <c r="W220" s="5" t="s">
        <v>214</v>
      </c>
      <c r="X220" s="5"/>
      <c r="Y220" s="5" t="s">
        <v>355</v>
      </c>
      <c r="Z220" s="5"/>
    </row>
    <row r="221" spans="1:26" ht="90" x14ac:dyDescent="0.25">
      <c r="A221" s="5" t="s">
        <v>127</v>
      </c>
      <c r="B221" s="5" t="s">
        <v>120</v>
      </c>
      <c r="C221" s="5" t="s">
        <v>126</v>
      </c>
      <c r="D221" s="5" t="s">
        <v>315</v>
      </c>
      <c r="E221" s="5" t="s">
        <v>213</v>
      </c>
      <c r="F221" s="5" t="s">
        <v>360</v>
      </c>
      <c r="G221" s="5" t="s">
        <v>361</v>
      </c>
      <c r="H221" s="5" t="s">
        <v>362</v>
      </c>
      <c r="I221" s="5" t="s">
        <v>344</v>
      </c>
      <c r="J221" s="5" t="s">
        <v>345</v>
      </c>
      <c r="K221" s="5" t="s">
        <v>346</v>
      </c>
      <c r="L221" s="5">
        <v>4</v>
      </c>
      <c r="M221" s="5">
        <v>4</v>
      </c>
      <c r="N221" s="5" t="s">
        <v>347</v>
      </c>
      <c r="O221" s="5">
        <f t="shared" si="12"/>
        <v>100</v>
      </c>
      <c r="P221" s="5" t="s">
        <v>152</v>
      </c>
      <c r="Q221" s="5" t="s">
        <v>153</v>
      </c>
      <c r="R221" s="5">
        <v>100</v>
      </c>
      <c r="S221" s="5" t="str">
        <f t="shared" si="13"/>
        <v>Aprobado</v>
      </c>
      <c r="T221" s="5">
        <f t="shared" si="14"/>
        <v>100</v>
      </c>
      <c r="U221" s="5" t="str">
        <f t="shared" si="15"/>
        <v>Supera los requisitos</v>
      </c>
      <c r="V221" s="5" t="s">
        <v>456</v>
      </c>
      <c r="W221" s="5" t="s">
        <v>214</v>
      </c>
      <c r="X221" s="5"/>
      <c r="Y221" s="5" t="s">
        <v>355</v>
      </c>
      <c r="Z221" s="5"/>
    </row>
    <row r="222" spans="1:26" ht="90" x14ac:dyDescent="0.25">
      <c r="A222" s="5" t="s">
        <v>127</v>
      </c>
      <c r="B222" s="5" t="s">
        <v>120</v>
      </c>
      <c r="C222" s="5" t="s">
        <v>126</v>
      </c>
      <c r="D222" s="5" t="s">
        <v>315</v>
      </c>
      <c r="E222" s="5" t="s">
        <v>213</v>
      </c>
      <c r="F222" s="5" t="s">
        <v>364</v>
      </c>
      <c r="G222" s="5" t="s">
        <v>365</v>
      </c>
      <c r="H222" s="5" t="s">
        <v>366</v>
      </c>
      <c r="I222" s="5" t="s">
        <v>344</v>
      </c>
      <c r="J222" s="5" t="s">
        <v>345</v>
      </c>
      <c r="K222" s="5" t="s">
        <v>346</v>
      </c>
      <c r="L222" s="5">
        <v>4</v>
      </c>
      <c r="M222" s="5">
        <v>4</v>
      </c>
      <c r="N222" s="5" t="s">
        <v>347</v>
      </c>
      <c r="O222" s="5">
        <f t="shared" si="12"/>
        <v>100</v>
      </c>
      <c r="P222" s="5" t="s">
        <v>152</v>
      </c>
      <c r="Q222" s="5" t="s">
        <v>153</v>
      </c>
      <c r="R222" s="5">
        <v>100</v>
      </c>
      <c r="S222" s="5" t="str">
        <f t="shared" si="13"/>
        <v>Aprobado</v>
      </c>
      <c r="T222" s="5">
        <f t="shared" si="14"/>
        <v>100</v>
      </c>
      <c r="U222" s="5" t="str">
        <f t="shared" si="15"/>
        <v>Supera los requisitos</v>
      </c>
      <c r="V222" s="5" t="s">
        <v>457</v>
      </c>
      <c r="W222" s="5" t="s">
        <v>214</v>
      </c>
      <c r="X222" s="5"/>
      <c r="Y222" s="5" t="s">
        <v>355</v>
      </c>
      <c r="Z222" s="5"/>
    </row>
    <row r="223" spans="1:26" ht="90" x14ac:dyDescent="0.25">
      <c r="A223" s="5" t="s">
        <v>127</v>
      </c>
      <c r="B223" s="5" t="s">
        <v>120</v>
      </c>
      <c r="C223" s="5" t="s">
        <v>126</v>
      </c>
      <c r="D223" s="5" t="s">
        <v>315</v>
      </c>
      <c r="E223" s="5" t="s">
        <v>213</v>
      </c>
      <c r="F223" s="5" t="s">
        <v>368</v>
      </c>
      <c r="G223" s="5" t="s">
        <v>369</v>
      </c>
      <c r="H223" s="5" t="s">
        <v>370</v>
      </c>
      <c r="I223" s="5" t="s">
        <v>344</v>
      </c>
      <c r="J223" s="5" t="s">
        <v>345</v>
      </c>
      <c r="K223" s="5" t="s">
        <v>346</v>
      </c>
      <c r="L223" s="5">
        <v>4</v>
      </c>
      <c r="M223" s="5">
        <v>4</v>
      </c>
      <c r="N223" s="5" t="s">
        <v>347</v>
      </c>
      <c r="O223" s="5">
        <f t="shared" si="12"/>
        <v>100</v>
      </c>
      <c r="P223" s="5" t="s">
        <v>152</v>
      </c>
      <c r="Q223" s="5" t="s">
        <v>153</v>
      </c>
      <c r="R223" s="5">
        <v>100</v>
      </c>
      <c r="S223" s="5" t="str">
        <f t="shared" si="13"/>
        <v>Aprobado</v>
      </c>
      <c r="T223" s="5">
        <f t="shared" si="14"/>
        <v>100</v>
      </c>
      <c r="U223" s="5" t="str">
        <f t="shared" si="15"/>
        <v>Supera los requisitos</v>
      </c>
      <c r="V223" s="5" t="s">
        <v>458</v>
      </c>
      <c r="W223" s="5" t="s">
        <v>214</v>
      </c>
      <c r="X223" s="5"/>
      <c r="Y223" s="5" t="s">
        <v>355</v>
      </c>
      <c r="Z223" s="5"/>
    </row>
    <row r="224" spans="1:26" ht="90" x14ac:dyDescent="0.25">
      <c r="A224" s="5" t="s">
        <v>127</v>
      </c>
      <c r="B224" s="5" t="s">
        <v>120</v>
      </c>
      <c r="C224" s="5" t="s">
        <v>126</v>
      </c>
      <c r="D224" s="5" t="s">
        <v>315</v>
      </c>
      <c r="E224" s="5" t="s">
        <v>213</v>
      </c>
      <c r="F224" s="5" t="s">
        <v>372</v>
      </c>
      <c r="G224" s="5" t="s">
        <v>373</v>
      </c>
      <c r="H224" s="5" t="s">
        <v>374</v>
      </c>
      <c r="I224" s="5" t="s">
        <v>344</v>
      </c>
      <c r="J224" s="5" t="s">
        <v>345</v>
      </c>
      <c r="K224" s="5" t="s">
        <v>346</v>
      </c>
      <c r="L224" s="5">
        <v>4</v>
      </c>
      <c r="M224" s="5">
        <v>4</v>
      </c>
      <c r="N224" s="5" t="s">
        <v>347</v>
      </c>
      <c r="O224" s="5">
        <f t="shared" si="12"/>
        <v>100</v>
      </c>
      <c r="P224" s="5" t="s">
        <v>152</v>
      </c>
      <c r="Q224" s="5" t="s">
        <v>153</v>
      </c>
      <c r="R224" s="5">
        <v>100</v>
      </c>
      <c r="S224" s="5" t="str">
        <f t="shared" si="13"/>
        <v>Aprobado</v>
      </c>
      <c r="T224" s="5">
        <f t="shared" si="14"/>
        <v>100</v>
      </c>
      <c r="U224" s="5" t="str">
        <f t="shared" si="15"/>
        <v>Supera los requisitos</v>
      </c>
      <c r="V224" s="5" t="s">
        <v>459</v>
      </c>
      <c r="W224" s="5" t="s">
        <v>214</v>
      </c>
      <c r="X224" s="5"/>
      <c r="Y224" s="5" t="s">
        <v>355</v>
      </c>
      <c r="Z224" s="5"/>
    </row>
    <row r="225" spans="1:26" ht="90" x14ac:dyDescent="0.25">
      <c r="A225" s="5" t="s">
        <v>127</v>
      </c>
      <c r="B225" s="5" t="s">
        <v>120</v>
      </c>
      <c r="C225" s="5" t="s">
        <v>126</v>
      </c>
      <c r="D225" s="5" t="s">
        <v>315</v>
      </c>
      <c r="E225" s="5" t="s">
        <v>213</v>
      </c>
      <c r="F225" s="5" t="s">
        <v>378</v>
      </c>
      <c r="G225" s="5" t="s">
        <v>379</v>
      </c>
      <c r="H225" s="5" t="s">
        <v>380</v>
      </c>
      <c r="I225" s="5" t="s">
        <v>344</v>
      </c>
      <c r="J225" s="5" t="s">
        <v>345</v>
      </c>
      <c r="K225" s="5" t="s">
        <v>346</v>
      </c>
      <c r="L225" s="5">
        <v>4</v>
      </c>
      <c r="M225" s="5">
        <v>4</v>
      </c>
      <c r="N225" s="5" t="s">
        <v>347</v>
      </c>
      <c r="O225" s="5">
        <f t="shared" si="12"/>
        <v>100</v>
      </c>
      <c r="P225" s="5" t="s">
        <v>152</v>
      </c>
      <c r="Q225" s="5" t="s">
        <v>153</v>
      </c>
      <c r="R225" s="5">
        <v>100</v>
      </c>
      <c r="S225" s="5" t="str">
        <f t="shared" si="13"/>
        <v>Aprobado</v>
      </c>
      <c r="T225" s="5">
        <f t="shared" si="14"/>
        <v>100</v>
      </c>
      <c r="U225" s="5" t="str">
        <f t="shared" si="15"/>
        <v>Supera los requisitos</v>
      </c>
      <c r="V225" s="5" t="s">
        <v>460</v>
      </c>
      <c r="W225" s="5" t="s">
        <v>214</v>
      </c>
      <c r="X225" s="5"/>
      <c r="Y225" s="5" t="s">
        <v>355</v>
      </c>
      <c r="Z225" s="5"/>
    </row>
    <row r="226" spans="1:26" ht="90" x14ac:dyDescent="0.25">
      <c r="A226" s="5" t="s">
        <v>127</v>
      </c>
      <c r="B226" s="5" t="s">
        <v>120</v>
      </c>
      <c r="C226" s="5" t="s">
        <v>126</v>
      </c>
      <c r="D226" s="5" t="s">
        <v>315</v>
      </c>
      <c r="E226" s="5" t="s">
        <v>213</v>
      </c>
      <c r="F226" s="5" t="s">
        <v>384</v>
      </c>
      <c r="G226" s="5" t="s">
        <v>385</v>
      </c>
      <c r="H226" s="5" t="s">
        <v>386</v>
      </c>
      <c r="I226" s="5" t="s">
        <v>344</v>
      </c>
      <c r="J226" s="5" t="s">
        <v>345</v>
      </c>
      <c r="K226" s="5" t="s">
        <v>346</v>
      </c>
      <c r="L226" s="5">
        <v>4</v>
      </c>
      <c r="M226" s="5">
        <v>4</v>
      </c>
      <c r="N226" s="5" t="s">
        <v>347</v>
      </c>
      <c r="O226" s="5">
        <f t="shared" si="12"/>
        <v>100</v>
      </c>
      <c r="P226" s="5" t="s">
        <v>152</v>
      </c>
      <c r="Q226" s="5" t="s">
        <v>153</v>
      </c>
      <c r="R226" s="5">
        <v>100</v>
      </c>
      <c r="S226" s="5" t="str">
        <f t="shared" si="13"/>
        <v>Aprobado</v>
      </c>
      <c r="T226" s="5">
        <f t="shared" si="14"/>
        <v>100</v>
      </c>
      <c r="U226" s="5" t="str">
        <f t="shared" si="15"/>
        <v>Supera los requisitos</v>
      </c>
      <c r="V226" s="5" t="s">
        <v>461</v>
      </c>
      <c r="W226" s="5" t="s">
        <v>214</v>
      </c>
      <c r="X226" s="5"/>
      <c r="Y226" s="5" t="s">
        <v>355</v>
      </c>
      <c r="Z226" s="5"/>
    </row>
  </sheetData>
  <autoFilter ref="A1:Z226" xr:uid="{00000000-0009-0000-0000-000003000000}"/>
  <conditionalFormatting sqref="S2:S226">
    <cfRule type="cellIs" dxfId="4" priority="1" operator="equal">
      <formula>"Aprobado"</formula>
    </cfRule>
    <cfRule type="cellIs" dxfId="3" priority="2" operator="equal">
      <formula>"Rechazado"</formula>
    </cfRule>
    <cfRule type="cellIs" dxfId="2" priority="3" operator="equal">
      <formula>"Pendiente"</formula>
    </cfRule>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3"/>
  <sheetViews>
    <sheetView zoomScale="90" workbookViewId="0">
      <pane ySplit="1" topLeftCell="A2" activePane="bottomLeft" state="frozen"/>
      <selection pane="bottomLeft"/>
    </sheetView>
  </sheetViews>
  <sheetFormatPr baseColWidth="10" defaultColWidth="9.140625" defaultRowHeight="15" x14ac:dyDescent="0.25"/>
  <cols>
    <col min="1" max="1" width="10" customWidth="1"/>
    <col min="2" max="2" width="8" customWidth="1"/>
    <col min="3" max="3" width="9" customWidth="1"/>
    <col min="4" max="4" width="60" customWidth="1"/>
    <col min="5" max="5" width="16" customWidth="1"/>
    <col min="6" max="6" width="10" customWidth="1"/>
    <col min="7" max="7" width="11" customWidth="1"/>
    <col min="8" max="8" width="50" customWidth="1"/>
    <col min="9" max="9" width="24" customWidth="1"/>
    <col min="10" max="10" width="40" customWidth="1"/>
  </cols>
  <sheetData>
    <row r="1" spans="1:10" ht="33.950000000000003" customHeight="1" x14ac:dyDescent="0.25">
      <c r="A1" s="4" t="s">
        <v>132</v>
      </c>
      <c r="B1" s="4" t="s">
        <v>327</v>
      </c>
      <c r="C1" s="4" t="s">
        <v>133</v>
      </c>
      <c r="D1" s="4" t="s">
        <v>564</v>
      </c>
      <c r="E1" s="4" t="s">
        <v>565</v>
      </c>
      <c r="F1" s="4" t="s">
        <v>566</v>
      </c>
      <c r="G1" s="4" t="s">
        <v>21</v>
      </c>
      <c r="H1" s="4" t="s">
        <v>339</v>
      </c>
      <c r="I1" s="4" t="s">
        <v>145</v>
      </c>
      <c r="J1" s="4" t="s">
        <v>337</v>
      </c>
    </row>
    <row r="2" spans="1:10" ht="60" x14ac:dyDescent="0.25">
      <c r="A2" s="5" t="s">
        <v>567</v>
      </c>
      <c r="B2" s="5" t="s">
        <v>341</v>
      </c>
      <c r="C2" s="5" t="s">
        <v>61</v>
      </c>
      <c r="D2" s="5" t="s">
        <v>568</v>
      </c>
      <c r="E2" s="5" t="s">
        <v>569</v>
      </c>
      <c r="F2" s="5" t="s">
        <v>570</v>
      </c>
      <c r="G2" s="5" t="s">
        <v>571</v>
      </c>
      <c r="H2" s="5" t="s">
        <v>572</v>
      </c>
      <c r="I2" s="5" t="s">
        <v>573</v>
      </c>
      <c r="J2" s="5" t="s">
        <v>574</v>
      </c>
    </row>
    <row r="3" spans="1:10" ht="75" x14ac:dyDescent="0.25">
      <c r="A3" s="5" t="s">
        <v>575</v>
      </c>
      <c r="B3" s="5" t="s">
        <v>341</v>
      </c>
      <c r="C3" s="5" t="s">
        <v>61</v>
      </c>
      <c r="D3" s="5" t="s">
        <v>576</v>
      </c>
      <c r="E3" s="5" t="s">
        <v>569</v>
      </c>
      <c r="F3" s="5" t="s">
        <v>577</v>
      </c>
      <c r="G3" s="5" t="s">
        <v>571</v>
      </c>
      <c r="H3" s="5" t="s">
        <v>578</v>
      </c>
      <c r="I3" s="5" t="s">
        <v>573</v>
      </c>
      <c r="J3" s="5" t="s">
        <v>579</v>
      </c>
    </row>
    <row r="4" spans="1:10" ht="60" x14ac:dyDescent="0.25">
      <c r="A4" s="5" t="s">
        <v>554</v>
      </c>
      <c r="B4" s="5" t="s">
        <v>341</v>
      </c>
      <c r="C4" s="5" t="s">
        <v>112</v>
      </c>
      <c r="D4" s="5" t="s">
        <v>580</v>
      </c>
      <c r="E4" s="5" t="s">
        <v>581</v>
      </c>
      <c r="F4" s="5" t="s">
        <v>577</v>
      </c>
      <c r="G4" s="5" t="s">
        <v>571</v>
      </c>
      <c r="H4" s="5" t="s">
        <v>555</v>
      </c>
      <c r="I4" s="5" t="s">
        <v>582</v>
      </c>
      <c r="J4" s="5" t="s">
        <v>579</v>
      </c>
    </row>
    <row r="5" spans="1:10" ht="60" x14ac:dyDescent="0.25">
      <c r="A5" s="5" t="s">
        <v>349</v>
      </c>
      <c r="B5" s="5" t="s">
        <v>341</v>
      </c>
      <c r="C5" s="5" t="s">
        <v>29</v>
      </c>
      <c r="D5" s="5" t="s">
        <v>583</v>
      </c>
      <c r="E5" s="5" t="s">
        <v>584</v>
      </c>
      <c r="F5" s="5" t="s">
        <v>570</v>
      </c>
      <c r="G5" s="5" t="s">
        <v>571</v>
      </c>
      <c r="H5" s="5" t="s">
        <v>350</v>
      </c>
      <c r="I5" s="5" t="s">
        <v>585</v>
      </c>
      <c r="J5" s="5" t="s">
        <v>579</v>
      </c>
    </row>
    <row r="6" spans="1:10" ht="45" x14ac:dyDescent="0.25">
      <c r="A6" s="5" t="s">
        <v>586</v>
      </c>
      <c r="B6" s="5" t="s">
        <v>341</v>
      </c>
      <c r="C6" s="5" t="s">
        <v>61</v>
      </c>
      <c r="D6" s="5" t="s">
        <v>587</v>
      </c>
      <c r="E6" s="5" t="s">
        <v>584</v>
      </c>
      <c r="F6" s="5" t="s">
        <v>570</v>
      </c>
      <c r="G6" s="5" t="s">
        <v>571</v>
      </c>
      <c r="H6" s="5" t="s">
        <v>588</v>
      </c>
      <c r="I6" s="5" t="s">
        <v>585</v>
      </c>
      <c r="J6" s="5" t="s">
        <v>589</v>
      </c>
    </row>
    <row r="7" spans="1:10" ht="60" x14ac:dyDescent="0.25">
      <c r="A7" s="5" t="s">
        <v>517</v>
      </c>
      <c r="B7" s="5" t="s">
        <v>341</v>
      </c>
      <c r="C7" s="5" t="s">
        <v>84</v>
      </c>
      <c r="D7" s="5" t="s">
        <v>590</v>
      </c>
      <c r="E7" s="5" t="s">
        <v>584</v>
      </c>
      <c r="F7" s="5" t="s">
        <v>591</v>
      </c>
      <c r="G7" s="5" t="s">
        <v>571</v>
      </c>
      <c r="H7" s="5" t="s">
        <v>518</v>
      </c>
      <c r="I7" s="5" t="s">
        <v>573</v>
      </c>
      <c r="J7" s="5" t="s">
        <v>516</v>
      </c>
    </row>
    <row r="8" spans="1:10" ht="45" x14ac:dyDescent="0.25">
      <c r="A8" s="5" t="s">
        <v>542</v>
      </c>
      <c r="B8" s="5" t="s">
        <v>341</v>
      </c>
      <c r="C8" s="5" t="s">
        <v>101</v>
      </c>
      <c r="D8" s="5" t="s">
        <v>592</v>
      </c>
      <c r="E8" s="5" t="s">
        <v>569</v>
      </c>
      <c r="F8" s="5" t="s">
        <v>591</v>
      </c>
      <c r="G8" s="5" t="s">
        <v>571</v>
      </c>
      <c r="H8" s="5" t="s">
        <v>543</v>
      </c>
      <c r="I8" s="5" t="s">
        <v>582</v>
      </c>
      <c r="J8" s="5" t="s">
        <v>531</v>
      </c>
    </row>
    <row r="9" spans="1:10" ht="60" x14ac:dyDescent="0.25">
      <c r="A9" s="5" t="s">
        <v>410</v>
      </c>
      <c r="B9" s="5" t="s">
        <v>341</v>
      </c>
      <c r="C9" s="5" t="s">
        <v>174</v>
      </c>
      <c r="D9" s="5" t="s">
        <v>593</v>
      </c>
      <c r="E9" s="5" t="s">
        <v>569</v>
      </c>
      <c r="F9" s="5" t="s">
        <v>570</v>
      </c>
      <c r="G9" s="5" t="s">
        <v>571</v>
      </c>
      <c r="H9" s="5" t="s">
        <v>411</v>
      </c>
      <c r="I9" s="5" t="s">
        <v>582</v>
      </c>
      <c r="J9" s="5" t="s">
        <v>594</v>
      </c>
    </row>
    <row r="10" spans="1:10" ht="45" x14ac:dyDescent="0.25">
      <c r="A10" s="5" t="s">
        <v>532</v>
      </c>
      <c r="B10" s="5" t="s">
        <v>341</v>
      </c>
      <c r="C10" s="5" t="s">
        <v>99</v>
      </c>
      <c r="D10" s="5" t="s">
        <v>595</v>
      </c>
      <c r="E10" s="5" t="s">
        <v>569</v>
      </c>
      <c r="F10" s="5" t="s">
        <v>591</v>
      </c>
      <c r="G10" s="5" t="s">
        <v>571</v>
      </c>
      <c r="H10" s="5" t="s">
        <v>533</v>
      </c>
      <c r="I10" s="5" t="s">
        <v>582</v>
      </c>
      <c r="J10" s="5" t="s">
        <v>531</v>
      </c>
    </row>
    <row r="11" spans="1:10" ht="75" x14ac:dyDescent="0.25">
      <c r="A11" s="5" t="s">
        <v>520</v>
      </c>
      <c r="B11" s="5" t="s">
        <v>351</v>
      </c>
      <c r="C11" s="5" t="s">
        <v>84</v>
      </c>
      <c r="D11" s="5" t="s">
        <v>596</v>
      </c>
      <c r="E11" s="5" t="s">
        <v>584</v>
      </c>
      <c r="F11" s="5" t="s">
        <v>591</v>
      </c>
      <c r="G11" s="5" t="s">
        <v>571</v>
      </c>
      <c r="H11" s="5" t="s">
        <v>521</v>
      </c>
      <c r="I11" s="5" t="s">
        <v>573</v>
      </c>
      <c r="J11" s="5" t="s">
        <v>519</v>
      </c>
    </row>
    <row r="12" spans="1:10" ht="75" x14ac:dyDescent="0.25">
      <c r="A12" s="5" t="s">
        <v>466</v>
      </c>
      <c r="B12" s="5" t="s">
        <v>351</v>
      </c>
      <c r="C12" s="5" t="s">
        <v>61</v>
      </c>
      <c r="D12" s="5" t="s">
        <v>597</v>
      </c>
      <c r="E12" s="5" t="s">
        <v>569</v>
      </c>
      <c r="F12" s="5" t="s">
        <v>570</v>
      </c>
      <c r="G12" s="5" t="s">
        <v>571</v>
      </c>
      <c r="H12" s="5" t="s">
        <v>467</v>
      </c>
      <c r="I12" s="5" t="s">
        <v>573</v>
      </c>
      <c r="J12" s="5" t="s">
        <v>598</v>
      </c>
    </row>
    <row r="13" spans="1:10" ht="75" x14ac:dyDescent="0.25">
      <c r="A13" s="5" t="s">
        <v>413</v>
      </c>
      <c r="B13" s="5" t="s">
        <v>351</v>
      </c>
      <c r="C13" s="5" t="s">
        <v>174</v>
      </c>
      <c r="D13" s="5" t="s">
        <v>599</v>
      </c>
      <c r="E13" s="5" t="s">
        <v>569</v>
      </c>
      <c r="F13" s="5" t="s">
        <v>591</v>
      </c>
      <c r="G13" s="5" t="s">
        <v>571</v>
      </c>
      <c r="H13" s="5" t="s">
        <v>414</v>
      </c>
      <c r="I13" s="5" t="s">
        <v>582</v>
      </c>
      <c r="J13" s="5" t="s">
        <v>600</v>
      </c>
    </row>
    <row r="14" spans="1:10" ht="120" x14ac:dyDescent="0.25">
      <c r="A14" s="5" t="s">
        <v>601</v>
      </c>
      <c r="B14" s="5" t="s">
        <v>356</v>
      </c>
      <c r="C14" s="5" t="s">
        <v>174</v>
      </c>
      <c r="D14" s="5" t="s">
        <v>602</v>
      </c>
      <c r="E14" s="5" t="s">
        <v>569</v>
      </c>
      <c r="F14" s="5" t="s">
        <v>570</v>
      </c>
      <c r="G14" s="5" t="s">
        <v>571</v>
      </c>
      <c r="H14" s="5" t="s">
        <v>603</v>
      </c>
      <c r="I14" s="5" t="s">
        <v>582</v>
      </c>
      <c r="J14" s="5" t="s">
        <v>604</v>
      </c>
    </row>
    <row r="15" spans="1:10" ht="90" x14ac:dyDescent="0.25">
      <c r="A15" s="5" t="s">
        <v>605</v>
      </c>
      <c r="B15" s="5" t="s">
        <v>356</v>
      </c>
      <c r="C15" s="5" t="s">
        <v>174</v>
      </c>
      <c r="D15" s="5" t="s">
        <v>606</v>
      </c>
      <c r="E15" s="5" t="s">
        <v>569</v>
      </c>
      <c r="F15" s="5" t="s">
        <v>570</v>
      </c>
      <c r="G15" s="5" t="s">
        <v>571</v>
      </c>
      <c r="H15" s="5" t="s">
        <v>607</v>
      </c>
      <c r="I15" s="5" t="s">
        <v>582</v>
      </c>
      <c r="J15" s="5" t="s">
        <v>608</v>
      </c>
    </row>
    <row r="16" spans="1:10" ht="105" x14ac:dyDescent="0.25">
      <c r="A16" s="5" t="s">
        <v>419</v>
      </c>
      <c r="B16" s="5" t="s">
        <v>360</v>
      </c>
      <c r="C16" s="5" t="s">
        <v>174</v>
      </c>
      <c r="D16" s="5" t="s">
        <v>609</v>
      </c>
      <c r="E16" s="5" t="s">
        <v>569</v>
      </c>
      <c r="F16" s="5" t="s">
        <v>570</v>
      </c>
      <c r="G16" s="5" t="s">
        <v>571</v>
      </c>
      <c r="H16" s="5" t="s">
        <v>420</v>
      </c>
      <c r="I16" s="5" t="s">
        <v>582</v>
      </c>
      <c r="J16" s="5" t="s">
        <v>610</v>
      </c>
    </row>
    <row r="17" spans="1:10" ht="105" x14ac:dyDescent="0.25">
      <c r="A17" s="5" t="s">
        <v>475</v>
      </c>
      <c r="B17" s="5" t="s">
        <v>364</v>
      </c>
      <c r="C17" s="5" t="s">
        <v>63</v>
      </c>
      <c r="D17" s="5" t="s">
        <v>611</v>
      </c>
      <c r="E17" s="5" t="s">
        <v>569</v>
      </c>
      <c r="F17" s="5" t="s">
        <v>591</v>
      </c>
      <c r="G17" s="5" t="s">
        <v>571</v>
      </c>
      <c r="H17" s="5" t="s">
        <v>476</v>
      </c>
      <c r="I17" s="5" t="s">
        <v>573</v>
      </c>
      <c r="J17" s="5" t="s">
        <v>612</v>
      </c>
    </row>
    <row r="18" spans="1:10" ht="120" x14ac:dyDescent="0.25">
      <c r="A18" s="5" t="s">
        <v>613</v>
      </c>
      <c r="B18" s="5" t="s">
        <v>368</v>
      </c>
      <c r="C18" s="5" t="s">
        <v>33</v>
      </c>
      <c r="D18" s="5" t="s">
        <v>614</v>
      </c>
      <c r="E18" s="5" t="s">
        <v>569</v>
      </c>
      <c r="F18" s="5" t="s">
        <v>570</v>
      </c>
      <c r="G18" s="5" t="s">
        <v>571</v>
      </c>
      <c r="H18" s="5" t="s">
        <v>615</v>
      </c>
      <c r="I18" s="5" t="s">
        <v>616</v>
      </c>
      <c r="J18" s="5" t="s">
        <v>617</v>
      </c>
    </row>
    <row r="19" spans="1:10" ht="45" x14ac:dyDescent="0.25">
      <c r="A19" s="5" t="s">
        <v>477</v>
      </c>
      <c r="B19" s="5" t="s">
        <v>368</v>
      </c>
      <c r="C19" s="5" t="s">
        <v>63</v>
      </c>
      <c r="D19" s="5" t="s">
        <v>618</v>
      </c>
      <c r="E19" s="5" t="s">
        <v>569</v>
      </c>
      <c r="F19" s="5" t="s">
        <v>591</v>
      </c>
      <c r="G19" s="5" t="s">
        <v>571</v>
      </c>
      <c r="H19" s="5" t="s">
        <v>478</v>
      </c>
      <c r="I19" s="5" t="s">
        <v>573</v>
      </c>
      <c r="J19" s="5" t="s">
        <v>619</v>
      </c>
    </row>
    <row r="20" spans="1:10" ht="60" x14ac:dyDescent="0.25">
      <c r="A20" s="5" t="s">
        <v>620</v>
      </c>
      <c r="B20" s="5" t="s">
        <v>368</v>
      </c>
      <c r="C20" s="5" t="s">
        <v>33</v>
      </c>
      <c r="D20" s="5" t="s">
        <v>621</v>
      </c>
      <c r="E20" s="5" t="s">
        <v>569</v>
      </c>
      <c r="F20" s="5" t="s">
        <v>591</v>
      </c>
      <c r="G20" s="5" t="s">
        <v>571</v>
      </c>
      <c r="H20" s="5" t="s">
        <v>622</v>
      </c>
      <c r="I20" s="5" t="s">
        <v>616</v>
      </c>
      <c r="J20" s="5" t="s">
        <v>623</v>
      </c>
    </row>
    <row r="21" spans="1:10" ht="75" x14ac:dyDescent="0.25">
      <c r="A21" s="5" t="s">
        <v>529</v>
      </c>
      <c r="B21" s="5" t="s">
        <v>368</v>
      </c>
      <c r="C21" s="5" t="s">
        <v>86</v>
      </c>
      <c r="D21" s="5" t="s">
        <v>624</v>
      </c>
      <c r="E21" s="5" t="s">
        <v>569</v>
      </c>
      <c r="F21" s="5" t="s">
        <v>591</v>
      </c>
      <c r="G21" s="5" t="s">
        <v>571</v>
      </c>
      <c r="H21" s="5" t="s">
        <v>530</v>
      </c>
      <c r="I21" s="5" t="s">
        <v>616</v>
      </c>
      <c r="J21" s="5" t="s">
        <v>625</v>
      </c>
    </row>
    <row r="22" spans="1:10" ht="120" x14ac:dyDescent="0.25">
      <c r="A22" s="5" t="s">
        <v>376</v>
      </c>
      <c r="B22" s="5" t="s">
        <v>372</v>
      </c>
      <c r="C22" s="5" t="s">
        <v>29</v>
      </c>
      <c r="D22" s="5" t="s">
        <v>626</v>
      </c>
      <c r="E22" s="5" t="s">
        <v>569</v>
      </c>
      <c r="F22" s="5" t="s">
        <v>570</v>
      </c>
      <c r="G22" s="5" t="s">
        <v>571</v>
      </c>
      <c r="H22" s="5" t="s">
        <v>377</v>
      </c>
      <c r="I22" s="5" t="s">
        <v>627</v>
      </c>
      <c r="J22" s="5" t="s">
        <v>628</v>
      </c>
    </row>
    <row r="23" spans="1:10" ht="90" x14ac:dyDescent="0.25">
      <c r="A23" s="5" t="s">
        <v>382</v>
      </c>
      <c r="B23" s="5" t="s">
        <v>378</v>
      </c>
      <c r="C23" s="5" t="s">
        <v>29</v>
      </c>
      <c r="D23" s="5" t="s">
        <v>629</v>
      </c>
      <c r="E23" s="5" t="s">
        <v>569</v>
      </c>
      <c r="F23" s="5" t="s">
        <v>591</v>
      </c>
      <c r="G23" s="5" t="s">
        <v>571</v>
      </c>
      <c r="H23" s="5" t="s">
        <v>383</v>
      </c>
      <c r="I23" s="5" t="s">
        <v>627</v>
      </c>
      <c r="J23" s="5" t="s">
        <v>630</v>
      </c>
    </row>
  </sheetData>
  <dataValidations count="1">
    <dataValidation type="list" sqref="E2:E43" xr:uid="{00000000-0002-0000-0400-000000000000}">
      <formula1>"producto,script,infraestructura"</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C11"/>
  <sheetViews>
    <sheetView zoomScale="90" workbookViewId="0">
      <pane ySplit="1" topLeftCell="A2" activePane="bottomLeft" state="frozen"/>
      <selection pane="bottomLeft"/>
    </sheetView>
  </sheetViews>
  <sheetFormatPr baseColWidth="10" defaultColWidth="9.140625" defaultRowHeight="15" x14ac:dyDescent="0.25"/>
  <cols>
    <col min="1" max="1" width="26" customWidth="1"/>
    <col min="2" max="28" width="11" customWidth="1"/>
    <col min="29" max="29" width="18" customWidth="1"/>
  </cols>
  <sheetData>
    <row r="1" spans="1:29" ht="33.950000000000003" customHeight="1" x14ac:dyDescent="0.25">
      <c r="A1" s="4" t="s">
        <v>17</v>
      </c>
      <c r="B1" s="4" t="s">
        <v>631</v>
      </c>
      <c r="C1" s="4" t="s">
        <v>632</v>
      </c>
      <c r="D1" s="4" t="s">
        <v>633</v>
      </c>
      <c r="E1" s="4" t="s">
        <v>634</v>
      </c>
      <c r="F1" s="4" t="s">
        <v>635</v>
      </c>
      <c r="G1" s="4" t="s">
        <v>636</v>
      </c>
      <c r="H1" s="4" t="s">
        <v>637</v>
      </c>
      <c r="I1" s="4" t="s">
        <v>638</v>
      </c>
      <c r="J1" s="4" t="s">
        <v>639</v>
      </c>
      <c r="K1" s="4" t="s">
        <v>640</v>
      </c>
      <c r="L1" s="4" t="s">
        <v>641</v>
      </c>
      <c r="M1" s="4" t="s">
        <v>642</v>
      </c>
      <c r="N1" s="4" t="s">
        <v>643</v>
      </c>
      <c r="O1" s="4" t="s">
        <v>644</v>
      </c>
      <c r="P1" s="4" t="s">
        <v>645</v>
      </c>
      <c r="Q1" s="4" t="s">
        <v>646</v>
      </c>
      <c r="R1" s="4" t="s">
        <v>647</v>
      </c>
      <c r="S1" s="4" t="s">
        <v>648</v>
      </c>
      <c r="T1" s="4" t="s">
        <v>649</v>
      </c>
      <c r="U1" s="4" t="s">
        <v>650</v>
      </c>
      <c r="V1" s="4" t="s">
        <v>651</v>
      </c>
      <c r="W1" s="4" t="s">
        <v>652</v>
      </c>
      <c r="X1" s="4" t="s">
        <v>653</v>
      </c>
      <c r="Y1" s="4" t="s">
        <v>654</v>
      </c>
      <c r="Z1" s="4" t="s">
        <v>655</v>
      </c>
      <c r="AA1" s="4" t="s">
        <v>656</v>
      </c>
      <c r="AB1" s="4" t="s">
        <v>657</v>
      </c>
      <c r="AC1" s="4" t="s">
        <v>658</v>
      </c>
    </row>
    <row r="2" spans="1:29" x14ac:dyDescent="0.25">
      <c r="A2" s="5" t="s">
        <v>24</v>
      </c>
      <c r="B2" s="5">
        <f>COUNTIFS(Registro!$B:$B,$A2,Registro!$F:$F,"01",Registro!$S:$S,"Aprobado")</f>
        <v>2</v>
      </c>
      <c r="C2" s="5">
        <f>COUNTIFS(Registro!$B:$B,$A2,Registro!$F:$F,"01",Registro!$S:$S,"Rechazado")</f>
        <v>1</v>
      </c>
      <c r="D2" s="5">
        <f>COUNTIFS(Registro!$B:$B,$A2,Registro!$F:$F,"01",Registro!$S:$S,"Pendiente")</f>
        <v>0</v>
      </c>
      <c r="E2" s="5">
        <f>COUNTIFS(Registro!$B:$B,$A2,Registro!$F:$F,"02",Registro!$S:$S,"Aprobado")</f>
        <v>3</v>
      </c>
      <c r="F2" s="5">
        <f>COUNTIFS(Registro!$B:$B,$A2,Registro!$F:$F,"02",Registro!$S:$S,"Rechazado")</f>
        <v>0</v>
      </c>
      <c r="G2" s="5">
        <f>COUNTIFS(Registro!$B:$B,$A2,Registro!$F:$F,"02",Registro!$S:$S,"Pendiente")</f>
        <v>0</v>
      </c>
      <c r="H2" s="5">
        <f>COUNTIFS(Registro!$B:$B,$A2,Registro!$F:$F,"03",Registro!$S:$S,"Aprobado")</f>
        <v>3</v>
      </c>
      <c r="I2" s="5">
        <f>COUNTIFS(Registro!$B:$B,$A2,Registro!$F:$F,"03",Registro!$S:$S,"Rechazado")</f>
        <v>0</v>
      </c>
      <c r="J2" s="5">
        <f>COUNTIFS(Registro!$B:$B,$A2,Registro!$F:$F,"03",Registro!$S:$S,"Pendiente")</f>
        <v>0</v>
      </c>
      <c r="K2" s="5">
        <f>COUNTIFS(Registro!$B:$B,$A2,Registro!$F:$F,"04",Registro!$S:$S,"Aprobado")</f>
        <v>3</v>
      </c>
      <c r="L2" s="5">
        <f>COUNTIFS(Registro!$B:$B,$A2,Registro!$F:$F,"04",Registro!$S:$S,"Rechazado")</f>
        <v>0</v>
      </c>
      <c r="M2" s="5">
        <f>COUNTIFS(Registro!$B:$B,$A2,Registro!$F:$F,"04",Registro!$S:$S,"Pendiente")</f>
        <v>0</v>
      </c>
      <c r="N2" s="5">
        <f>COUNTIFS(Registro!$B:$B,$A2,Registro!$F:$F,"05",Registro!$S:$S,"Aprobado")</f>
        <v>3</v>
      </c>
      <c r="O2" s="5">
        <f>COUNTIFS(Registro!$B:$B,$A2,Registro!$F:$F,"05",Registro!$S:$S,"Rechazado")</f>
        <v>0</v>
      </c>
      <c r="P2" s="5">
        <f>COUNTIFS(Registro!$B:$B,$A2,Registro!$F:$F,"05",Registro!$S:$S,"Pendiente")</f>
        <v>0</v>
      </c>
      <c r="Q2" s="5">
        <f>COUNTIFS(Registro!$B:$B,$A2,Registro!$F:$F,"06",Registro!$S:$S,"Aprobado")</f>
        <v>3</v>
      </c>
      <c r="R2" s="5">
        <f>COUNTIFS(Registro!$B:$B,$A2,Registro!$F:$F,"06",Registro!$S:$S,"Rechazado")</f>
        <v>0</v>
      </c>
      <c r="S2" s="5">
        <f>COUNTIFS(Registro!$B:$B,$A2,Registro!$F:$F,"06",Registro!$S:$S,"Pendiente")</f>
        <v>0</v>
      </c>
      <c r="T2" s="5">
        <f>COUNTIFS(Registro!$B:$B,$A2,Registro!$F:$F,"07",Registro!$S:$S,"Aprobado")</f>
        <v>3</v>
      </c>
      <c r="U2" s="5">
        <f>COUNTIFS(Registro!$B:$B,$A2,Registro!$F:$F,"07",Registro!$S:$S,"Rechazado")</f>
        <v>0</v>
      </c>
      <c r="V2" s="5">
        <f>COUNTIFS(Registro!$B:$B,$A2,Registro!$F:$F,"07",Registro!$S:$S,"Pendiente")</f>
        <v>0</v>
      </c>
      <c r="W2" s="5">
        <f>COUNTIFS(Registro!$B:$B,$A2,Registro!$F:$F,"08",Registro!$S:$S,"Aprobado")</f>
        <v>3</v>
      </c>
      <c r="X2" s="5">
        <f>COUNTIFS(Registro!$B:$B,$A2,Registro!$F:$F,"08",Registro!$S:$S,"Rechazado")</f>
        <v>0</v>
      </c>
      <c r="Y2" s="5">
        <f>COUNTIFS(Registro!$B:$B,$A2,Registro!$F:$F,"08",Registro!$S:$S,"Pendiente")</f>
        <v>0</v>
      </c>
      <c r="Z2" s="5">
        <f>COUNTIFS(Registro!$B:$B,$A2,Registro!$F:$F,"09",Registro!$S:$S,"Aprobado")</f>
        <v>3</v>
      </c>
      <c r="AA2" s="5">
        <f>COUNTIFS(Registro!$B:$B,$A2,Registro!$F:$F,"09",Registro!$S:$S,"Rechazado")</f>
        <v>0</v>
      </c>
      <c r="AB2" s="5">
        <f>COUNTIFS(Registro!$B:$B,$A2,Registro!$F:$F,"09",Registro!$S:$S,"Pendiente")</f>
        <v>0</v>
      </c>
      <c r="AC2" s="5" t="str">
        <f t="shared" ref="AC2:AC10" si="0">IF(AA2&gt;0,"Rechazado",IF(AB2&gt;0,"Pendiente","Aprobado"))</f>
        <v>Aprobado</v>
      </c>
    </row>
    <row r="3" spans="1:29" x14ac:dyDescent="0.25">
      <c r="A3" s="5" t="s">
        <v>35</v>
      </c>
      <c r="B3" s="5">
        <f>COUNTIFS(Registro!$B:$B,$A3,Registro!$F:$F,"01",Registro!$S:$S,"Aprobado")</f>
        <v>2</v>
      </c>
      <c r="C3" s="5">
        <f>COUNTIFS(Registro!$B:$B,$A3,Registro!$F:$F,"01",Registro!$S:$S,"Rechazado")</f>
        <v>1</v>
      </c>
      <c r="D3" s="5">
        <f>COUNTIFS(Registro!$B:$B,$A3,Registro!$F:$F,"01",Registro!$S:$S,"Pendiente")</f>
        <v>0</v>
      </c>
      <c r="E3" s="5">
        <f>COUNTIFS(Registro!$B:$B,$A3,Registro!$F:$F,"02",Registro!$S:$S,"Aprobado")</f>
        <v>3</v>
      </c>
      <c r="F3" s="5">
        <f>COUNTIFS(Registro!$B:$B,$A3,Registro!$F:$F,"02",Registro!$S:$S,"Rechazado")</f>
        <v>0</v>
      </c>
      <c r="G3" s="5">
        <f>COUNTIFS(Registro!$B:$B,$A3,Registro!$F:$F,"02",Registro!$S:$S,"Pendiente")</f>
        <v>0</v>
      </c>
      <c r="H3" s="5">
        <f>COUNTIFS(Registro!$B:$B,$A3,Registro!$F:$F,"03",Registro!$S:$S,"Aprobado")</f>
        <v>2</v>
      </c>
      <c r="I3" s="5">
        <f>COUNTIFS(Registro!$B:$B,$A3,Registro!$F:$F,"03",Registro!$S:$S,"Rechazado")</f>
        <v>1</v>
      </c>
      <c r="J3" s="5">
        <f>COUNTIFS(Registro!$B:$B,$A3,Registro!$F:$F,"03",Registro!$S:$S,"Pendiente")</f>
        <v>0</v>
      </c>
      <c r="K3" s="5">
        <f>COUNTIFS(Registro!$B:$B,$A3,Registro!$F:$F,"04",Registro!$S:$S,"Aprobado")</f>
        <v>2</v>
      </c>
      <c r="L3" s="5">
        <f>COUNTIFS(Registro!$B:$B,$A3,Registro!$F:$F,"04",Registro!$S:$S,"Rechazado")</f>
        <v>1</v>
      </c>
      <c r="M3" s="5">
        <f>COUNTIFS(Registro!$B:$B,$A3,Registro!$F:$F,"04",Registro!$S:$S,"Pendiente")</f>
        <v>0</v>
      </c>
      <c r="N3" s="5">
        <f>COUNTIFS(Registro!$B:$B,$A3,Registro!$F:$F,"05",Registro!$S:$S,"Aprobado")</f>
        <v>3</v>
      </c>
      <c r="O3" s="5">
        <f>COUNTIFS(Registro!$B:$B,$A3,Registro!$F:$F,"05",Registro!$S:$S,"Rechazado")</f>
        <v>0</v>
      </c>
      <c r="P3" s="5">
        <f>COUNTIFS(Registro!$B:$B,$A3,Registro!$F:$F,"05",Registro!$S:$S,"Pendiente")</f>
        <v>0</v>
      </c>
      <c r="Q3" s="5">
        <f>COUNTIFS(Registro!$B:$B,$A3,Registro!$F:$F,"06",Registro!$S:$S,"Aprobado")</f>
        <v>3</v>
      </c>
      <c r="R3" s="5">
        <f>COUNTIFS(Registro!$B:$B,$A3,Registro!$F:$F,"06",Registro!$S:$S,"Rechazado")</f>
        <v>0</v>
      </c>
      <c r="S3" s="5">
        <f>COUNTIFS(Registro!$B:$B,$A3,Registro!$F:$F,"06",Registro!$S:$S,"Pendiente")</f>
        <v>0</v>
      </c>
      <c r="T3" s="5">
        <f>COUNTIFS(Registro!$B:$B,$A3,Registro!$F:$F,"07",Registro!$S:$S,"Aprobado")</f>
        <v>3</v>
      </c>
      <c r="U3" s="5">
        <f>COUNTIFS(Registro!$B:$B,$A3,Registro!$F:$F,"07",Registro!$S:$S,"Rechazado")</f>
        <v>0</v>
      </c>
      <c r="V3" s="5">
        <f>COUNTIFS(Registro!$B:$B,$A3,Registro!$F:$F,"07",Registro!$S:$S,"Pendiente")</f>
        <v>0</v>
      </c>
      <c r="W3" s="5">
        <f>COUNTIFS(Registro!$B:$B,$A3,Registro!$F:$F,"08",Registro!$S:$S,"Aprobado")</f>
        <v>3</v>
      </c>
      <c r="X3" s="5">
        <f>COUNTIFS(Registro!$B:$B,$A3,Registro!$F:$F,"08",Registro!$S:$S,"Rechazado")</f>
        <v>0</v>
      </c>
      <c r="Y3" s="5">
        <f>COUNTIFS(Registro!$B:$B,$A3,Registro!$F:$F,"08",Registro!$S:$S,"Pendiente")</f>
        <v>0</v>
      </c>
      <c r="Z3" s="5">
        <f>COUNTIFS(Registro!$B:$B,$A3,Registro!$F:$F,"09",Registro!$S:$S,"Aprobado")</f>
        <v>3</v>
      </c>
      <c r="AA3" s="5">
        <f>COUNTIFS(Registro!$B:$B,$A3,Registro!$F:$F,"09",Registro!$S:$S,"Rechazado")</f>
        <v>0</v>
      </c>
      <c r="AB3" s="5">
        <f>COUNTIFS(Registro!$B:$B,$A3,Registro!$F:$F,"09",Registro!$S:$S,"Pendiente")</f>
        <v>0</v>
      </c>
      <c r="AC3" s="5" t="str">
        <f t="shared" si="0"/>
        <v>Aprobado</v>
      </c>
    </row>
    <row r="4" spans="1:29" x14ac:dyDescent="0.25">
      <c r="A4" s="5" t="s">
        <v>46</v>
      </c>
      <c r="B4" s="5">
        <f>COUNTIFS(Registro!$B:$B,$A4,Registro!$F:$F,"01",Registro!$S:$S,"Aprobado")</f>
        <v>1</v>
      </c>
      <c r="C4" s="5">
        <f>COUNTIFS(Registro!$B:$B,$A4,Registro!$F:$F,"01",Registro!$S:$S,"Rechazado")</f>
        <v>0</v>
      </c>
      <c r="D4" s="5">
        <f>COUNTIFS(Registro!$B:$B,$A4,Registro!$F:$F,"01",Registro!$S:$S,"Pendiente")</f>
        <v>0</v>
      </c>
      <c r="E4" s="5">
        <f>COUNTIFS(Registro!$B:$B,$A4,Registro!$F:$F,"02",Registro!$S:$S,"Aprobado")</f>
        <v>1</v>
      </c>
      <c r="F4" s="5">
        <f>COUNTIFS(Registro!$B:$B,$A4,Registro!$F:$F,"02",Registro!$S:$S,"Rechazado")</f>
        <v>0</v>
      </c>
      <c r="G4" s="5">
        <f>COUNTIFS(Registro!$B:$B,$A4,Registro!$F:$F,"02",Registro!$S:$S,"Pendiente")</f>
        <v>0</v>
      </c>
      <c r="H4" s="5">
        <f>COUNTIFS(Registro!$B:$B,$A4,Registro!$F:$F,"03",Registro!$S:$S,"Aprobado")</f>
        <v>1</v>
      </c>
      <c r="I4" s="5">
        <f>COUNTIFS(Registro!$B:$B,$A4,Registro!$F:$F,"03",Registro!$S:$S,"Rechazado")</f>
        <v>0</v>
      </c>
      <c r="J4" s="5">
        <f>COUNTIFS(Registro!$B:$B,$A4,Registro!$F:$F,"03",Registro!$S:$S,"Pendiente")</f>
        <v>0</v>
      </c>
      <c r="K4" s="5">
        <f>COUNTIFS(Registro!$B:$B,$A4,Registro!$F:$F,"04",Registro!$S:$S,"Aprobado")</f>
        <v>1</v>
      </c>
      <c r="L4" s="5">
        <f>COUNTIFS(Registro!$B:$B,$A4,Registro!$F:$F,"04",Registro!$S:$S,"Rechazado")</f>
        <v>0</v>
      </c>
      <c r="M4" s="5">
        <f>COUNTIFS(Registro!$B:$B,$A4,Registro!$F:$F,"04",Registro!$S:$S,"Pendiente")</f>
        <v>0</v>
      </c>
      <c r="N4" s="5">
        <f>COUNTIFS(Registro!$B:$B,$A4,Registro!$F:$F,"05",Registro!$S:$S,"Aprobado")</f>
        <v>1</v>
      </c>
      <c r="O4" s="5">
        <f>COUNTIFS(Registro!$B:$B,$A4,Registro!$F:$F,"05",Registro!$S:$S,"Rechazado")</f>
        <v>0</v>
      </c>
      <c r="P4" s="5">
        <f>COUNTIFS(Registro!$B:$B,$A4,Registro!$F:$F,"05",Registro!$S:$S,"Pendiente")</f>
        <v>0</v>
      </c>
      <c r="Q4" s="5">
        <f>COUNTIFS(Registro!$B:$B,$A4,Registro!$F:$F,"06",Registro!$S:$S,"Aprobado")</f>
        <v>1</v>
      </c>
      <c r="R4" s="5">
        <f>COUNTIFS(Registro!$B:$B,$A4,Registro!$F:$F,"06",Registro!$S:$S,"Rechazado")</f>
        <v>0</v>
      </c>
      <c r="S4" s="5">
        <f>COUNTIFS(Registro!$B:$B,$A4,Registro!$F:$F,"06",Registro!$S:$S,"Pendiente")</f>
        <v>0</v>
      </c>
      <c r="T4" s="5">
        <f>COUNTIFS(Registro!$B:$B,$A4,Registro!$F:$F,"07",Registro!$S:$S,"Aprobado")</f>
        <v>1</v>
      </c>
      <c r="U4" s="5">
        <f>COUNTIFS(Registro!$B:$B,$A4,Registro!$F:$F,"07",Registro!$S:$S,"Rechazado")</f>
        <v>0</v>
      </c>
      <c r="V4" s="5">
        <f>COUNTIFS(Registro!$B:$B,$A4,Registro!$F:$F,"07",Registro!$S:$S,"Pendiente")</f>
        <v>0</v>
      </c>
      <c r="W4" s="5">
        <f>COUNTIFS(Registro!$B:$B,$A4,Registro!$F:$F,"08",Registro!$S:$S,"Aprobado")</f>
        <v>1</v>
      </c>
      <c r="X4" s="5">
        <f>COUNTIFS(Registro!$B:$B,$A4,Registro!$F:$F,"08",Registro!$S:$S,"Rechazado")</f>
        <v>0</v>
      </c>
      <c r="Y4" s="5">
        <f>COUNTIFS(Registro!$B:$B,$A4,Registro!$F:$F,"08",Registro!$S:$S,"Pendiente")</f>
        <v>0</v>
      </c>
      <c r="Z4" s="5">
        <f>COUNTIFS(Registro!$B:$B,$A4,Registro!$F:$F,"09",Registro!$S:$S,"Aprobado")</f>
        <v>1</v>
      </c>
      <c r="AA4" s="5">
        <f>COUNTIFS(Registro!$B:$B,$A4,Registro!$F:$F,"09",Registro!$S:$S,"Rechazado")</f>
        <v>0</v>
      </c>
      <c r="AB4" s="5">
        <f>COUNTIFS(Registro!$B:$B,$A4,Registro!$F:$F,"09",Registro!$S:$S,"Pendiente")</f>
        <v>0</v>
      </c>
      <c r="AC4" s="5" t="str">
        <f t="shared" si="0"/>
        <v>Aprobado</v>
      </c>
    </row>
    <row r="5" spans="1:29" x14ac:dyDescent="0.25">
      <c r="A5" s="5" t="s">
        <v>54</v>
      </c>
      <c r="B5" s="5">
        <f>COUNTIFS(Registro!$B:$B,$A5,Registro!$F:$F,"01",Registro!$S:$S,"Aprobado")</f>
        <v>3</v>
      </c>
      <c r="C5" s="5">
        <f>COUNTIFS(Registro!$B:$B,$A5,Registro!$F:$F,"01",Registro!$S:$S,"Rechazado")</f>
        <v>1</v>
      </c>
      <c r="D5" s="5">
        <f>COUNTIFS(Registro!$B:$B,$A5,Registro!$F:$F,"01",Registro!$S:$S,"Pendiente")</f>
        <v>0</v>
      </c>
      <c r="E5" s="5">
        <f>COUNTIFS(Registro!$B:$B,$A5,Registro!$F:$F,"02",Registro!$S:$S,"Aprobado")</f>
        <v>4</v>
      </c>
      <c r="F5" s="5">
        <f>COUNTIFS(Registro!$B:$B,$A5,Registro!$F:$F,"02",Registro!$S:$S,"Rechazado")</f>
        <v>0</v>
      </c>
      <c r="G5" s="5">
        <f>COUNTIFS(Registro!$B:$B,$A5,Registro!$F:$F,"02",Registro!$S:$S,"Pendiente")</f>
        <v>0</v>
      </c>
      <c r="H5" s="5">
        <f>COUNTIFS(Registro!$B:$B,$A5,Registro!$F:$F,"03",Registro!$S:$S,"Aprobado")</f>
        <v>4</v>
      </c>
      <c r="I5" s="5">
        <f>COUNTIFS(Registro!$B:$B,$A5,Registro!$F:$F,"03",Registro!$S:$S,"Rechazado")</f>
        <v>0</v>
      </c>
      <c r="J5" s="5">
        <f>COUNTIFS(Registro!$B:$B,$A5,Registro!$F:$F,"03",Registro!$S:$S,"Pendiente")</f>
        <v>0</v>
      </c>
      <c r="K5" s="5">
        <f>COUNTIFS(Registro!$B:$B,$A5,Registro!$F:$F,"04",Registro!$S:$S,"Aprobado")</f>
        <v>4</v>
      </c>
      <c r="L5" s="5">
        <f>COUNTIFS(Registro!$B:$B,$A5,Registro!$F:$F,"04",Registro!$S:$S,"Rechazado")</f>
        <v>0</v>
      </c>
      <c r="M5" s="5">
        <f>COUNTIFS(Registro!$B:$B,$A5,Registro!$F:$F,"04",Registro!$S:$S,"Pendiente")</f>
        <v>0</v>
      </c>
      <c r="N5" s="5">
        <f>COUNTIFS(Registro!$B:$B,$A5,Registro!$F:$F,"05",Registro!$S:$S,"Aprobado")</f>
        <v>4</v>
      </c>
      <c r="O5" s="5">
        <f>COUNTIFS(Registro!$B:$B,$A5,Registro!$F:$F,"05",Registro!$S:$S,"Rechazado")</f>
        <v>0</v>
      </c>
      <c r="P5" s="5">
        <f>COUNTIFS(Registro!$B:$B,$A5,Registro!$F:$F,"05",Registro!$S:$S,"Pendiente")</f>
        <v>0</v>
      </c>
      <c r="Q5" s="5">
        <f>COUNTIFS(Registro!$B:$B,$A5,Registro!$F:$F,"06",Registro!$S:$S,"Aprobado")</f>
        <v>4</v>
      </c>
      <c r="R5" s="5">
        <f>COUNTIFS(Registro!$B:$B,$A5,Registro!$F:$F,"06",Registro!$S:$S,"Rechazado")</f>
        <v>0</v>
      </c>
      <c r="S5" s="5">
        <f>COUNTIFS(Registro!$B:$B,$A5,Registro!$F:$F,"06",Registro!$S:$S,"Pendiente")</f>
        <v>0</v>
      </c>
      <c r="T5" s="5">
        <f>COUNTIFS(Registro!$B:$B,$A5,Registro!$F:$F,"07",Registro!$S:$S,"Aprobado")</f>
        <v>4</v>
      </c>
      <c r="U5" s="5">
        <f>COUNTIFS(Registro!$B:$B,$A5,Registro!$F:$F,"07",Registro!$S:$S,"Rechazado")</f>
        <v>0</v>
      </c>
      <c r="V5" s="5">
        <f>COUNTIFS(Registro!$B:$B,$A5,Registro!$F:$F,"07",Registro!$S:$S,"Pendiente")</f>
        <v>0</v>
      </c>
      <c r="W5" s="5">
        <f>COUNTIFS(Registro!$B:$B,$A5,Registro!$F:$F,"08",Registro!$S:$S,"Aprobado")</f>
        <v>4</v>
      </c>
      <c r="X5" s="5">
        <f>COUNTIFS(Registro!$B:$B,$A5,Registro!$F:$F,"08",Registro!$S:$S,"Rechazado")</f>
        <v>0</v>
      </c>
      <c r="Y5" s="5">
        <f>COUNTIFS(Registro!$B:$B,$A5,Registro!$F:$F,"08",Registro!$S:$S,"Pendiente")</f>
        <v>0</v>
      </c>
      <c r="Z5" s="5">
        <f>COUNTIFS(Registro!$B:$B,$A5,Registro!$F:$F,"09",Registro!$S:$S,"Aprobado")</f>
        <v>4</v>
      </c>
      <c r="AA5" s="5">
        <f>COUNTIFS(Registro!$B:$B,$A5,Registro!$F:$F,"09",Registro!$S:$S,"Rechazado")</f>
        <v>0</v>
      </c>
      <c r="AB5" s="5">
        <f>COUNTIFS(Registro!$B:$B,$A5,Registro!$F:$F,"09",Registro!$S:$S,"Pendiente")</f>
        <v>0</v>
      </c>
      <c r="AC5" s="5" t="str">
        <f t="shared" si="0"/>
        <v>Aprobado</v>
      </c>
    </row>
    <row r="6" spans="1:29" x14ac:dyDescent="0.25">
      <c r="A6" s="5" t="s">
        <v>70</v>
      </c>
      <c r="B6" s="5">
        <f>COUNTIFS(Registro!$B:$B,$A6,Registro!$F:$F,"01",Registro!$S:$S,"Aprobado")</f>
        <v>3</v>
      </c>
      <c r="C6" s="5">
        <f>COUNTIFS(Registro!$B:$B,$A6,Registro!$F:$F,"01",Registro!$S:$S,"Rechazado")</f>
        <v>1</v>
      </c>
      <c r="D6" s="5">
        <f>COUNTIFS(Registro!$B:$B,$A6,Registro!$F:$F,"01",Registro!$S:$S,"Pendiente")</f>
        <v>0</v>
      </c>
      <c r="E6" s="5">
        <f>COUNTIFS(Registro!$B:$B,$A6,Registro!$F:$F,"02",Registro!$S:$S,"Aprobado")</f>
        <v>4</v>
      </c>
      <c r="F6" s="5">
        <f>COUNTIFS(Registro!$B:$B,$A6,Registro!$F:$F,"02",Registro!$S:$S,"Rechazado")</f>
        <v>0</v>
      </c>
      <c r="G6" s="5">
        <f>COUNTIFS(Registro!$B:$B,$A6,Registro!$F:$F,"02",Registro!$S:$S,"Pendiente")</f>
        <v>0</v>
      </c>
      <c r="H6" s="5">
        <f>COUNTIFS(Registro!$B:$B,$A6,Registro!$F:$F,"03",Registro!$S:$S,"Aprobado")</f>
        <v>4</v>
      </c>
      <c r="I6" s="5">
        <f>COUNTIFS(Registro!$B:$B,$A6,Registro!$F:$F,"03",Registro!$S:$S,"Rechazado")</f>
        <v>0</v>
      </c>
      <c r="J6" s="5">
        <f>COUNTIFS(Registro!$B:$B,$A6,Registro!$F:$F,"03",Registro!$S:$S,"Pendiente")</f>
        <v>0</v>
      </c>
      <c r="K6" s="5">
        <f>COUNTIFS(Registro!$B:$B,$A6,Registro!$F:$F,"04",Registro!$S:$S,"Aprobado")</f>
        <v>4</v>
      </c>
      <c r="L6" s="5">
        <f>COUNTIFS(Registro!$B:$B,$A6,Registro!$F:$F,"04",Registro!$S:$S,"Rechazado")</f>
        <v>0</v>
      </c>
      <c r="M6" s="5">
        <f>COUNTIFS(Registro!$B:$B,$A6,Registro!$F:$F,"04",Registro!$S:$S,"Pendiente")</f>
        <v>0</v>
      </c>
      <c r="N6" s="5">
        <f>COUNTIFS(Registro!$B:$B,$A6,Registro!$F:$F,"05",Registro!$S:$S,"Aprobado")</f>
        <v>4</v>
      </c>
      <c r="O6" s="5">
        <f>COUNTIFS(Registro!$B:$B,$A6,Registro!$F:$F,"05",Registro!$S:$S,"Rechazado")</f>
        <v>0</v>
      </c>
      <c r="P6" s="5">
        <f>COUNTIFS(Registro!$B:$B,$A6,Registro!$F:$F,"05",Registro!$S:$S,"Pendiente")</f>
        <v>0</v>
      </c>
      <c r="Q6" s="5">
        <f>COUNTIFS(Registro!$B:$B,$A6,Registro!$F:$F,"06",Registro!$S:$S,"Aprobado")</f>
        <v>4</v>
      </c>
      <c r="R6" s="5">
        <f>COUNTIFS(Registro!$B:$B,$A6,Registro!$F:$F,"06",Registro!$S:$S,"Rechazado")</f>
        <v>0</v>
      </c>
      <c r="S6" s="5">
        <f>COUNTIFS(Registro!$B:$B,$A6,Registro!$F:$F,"06",Registro!$S:$S,"Pendiente")</f>
        <v>0</v>
      </c>
      <c r="T6" s="5">
        <f>COUNTIFS(Registro!$B:$B,$A6,Registro!$F:$F,"07",Registro!$S:$S,"Aprobado")</f>
        <v>4</v>
      </c>
      <c r="U6" s="5">
        <f>COUNTIFS(Registro!$B:$B,$A6,Registro!$F:$F,"07",Registro!$S:$S,"Rechazado")</f>
        <v>0</v>
      </c>
      <c r="V6" s="5">
        <f>COUNTIFS(Registro!$B:$B,$A6,Registro!$F:$F,"07",Registro!$S:$S,"Pendiente")</f>
        <v>0</v>
      </c>
      <c r="W6" s="5">
        <f>COUNTIFS(Registro!$B:$B,$A6,Registro!$F:$F,"08",Registro!$S:$S,"Aprobado")</f>
        <v>4</v>
      </c>
      <c r="X6" s="5">
        <f>COUNTIFS(Registro!$B:$B,$A6,Registro!$F:$F,"08",Registro!$S:$S,"Rechazado")</f>
        <v>0</v>
      </c>
      <c r="Y6" s="5">
        <f>COUNTIFS(Registro!$B:$B,$A6,Registro!$F:$F,"08",Registro!$S:$S,"Pendiente")</f>
        <v>0</v>
      </c>
      <c r="Z6" s="5">
        <f>COUNTIFS(Registro!$B:$B,$A6,Registro!$F:$F,"09",Registro!$S:$S,"Aprobado")</f>
        <v>4</v>
      </c>
      <c r="AA6" s="5">
        <f>COUNTIFS(Registro!$B:$B,$A6,Registro!$F:$F,"09",Registro!$S:$S,"Rechazado")</f>
        <v>0</v>
      </c>
      <c r="AB6" s="5">
        <f>COUNTIFS(Registro!$B:$B,$A6,Registro!$F:$F,"09",Registro!$S:$S,"Pendiente")</f>
        <v>0</v>
      </c>
      <c r="AC6" s="5" t="str">
        <f t="shared" si="0"/>
        <v>Aprobado</v>
      </c>
    </row>
    <row r="7" spans="1:29" x14ac:dyDescent="0.25">
      <c r="A7" s="5" t="s">
        <v>81</v>
      </c>
      <c r="B7" s="5">
        <f>COUNTIFS(Registro!$B:$B,$A7,Registro!$F:$F,"01",Registro!$S:$S,"Aprobado")</f>
        <v>2</v>
      </c>
      <c r="C7" s="5">
        <f>COUNTIFS(Registro!$B:$B,$A7,Registro!$F:$F,"01",Registro!$S:$S,"Rechazado")</f>
        <v>1</v>
      </c>
      <c r="D7" s="5">
        <f>COUNTIFS(Registro!$B:$B,$A7,Registro!$F:$F,"01",Registro!$S:$S,"Pendiente")</f>
        <v>0</v>
      </c>
      <c r="E7" s="5">
        <f>COUNTIFS(Registro!$B:$B,$A7,Registro!$F:$F,"02",Registro!$S:$S,"Aprobado")</f>
        <v>2</v>
      </c>
      <c r="F7" s="5">
        <f>COUNTIFS(Registro!$B:$B,$A7,Registro!$F:$F,"02",Registro!$S:$S,"Rechazado")</f>
        <v>1</v>
      </c>
      <c r="G7" s="5">
        <f>COUNTIFS(Registro!$B:$B,$A7,Registro!$F:$F,"02",Registro!$S:$S,"Pendiente")</f>
        <v>0</v>
      </c>
      <c r="H7" s="5">
        <f>COUNTIFS(Registro!$B:$B,$A7,Registro!$F:$F,"03",Registro!$S:$S,"Aprobado")</f>
        <v>3</v>
      </c>
      <c r="I7" s="5">
        <f>COUNTIFS(Registro!$B:$B,$A7,Registro!$F:$F,"03",Registro!$S:$S,"Rechazado")</f>
        <v>0</v>
      </c>
      <c r="J7" s="5">
        <f>COUNTIFS(Registro!$B:$B,$A7,Registro!$F:$F,"03",Registro!$S:$S,"Pendiente")</f>
        <v>0</v>
      </c>
      <c r="K7" s="5">
        <f>COUNTIFS(Registro!$B:$B,$A7,Registro!$F:$F,"04",Registro!$S:$S,"Aprobado")</f>
        <v>3</v>
      </c>
      <c r="L7" s="5">
        <f>COUNTIFS(Registro!$B:$B,$A7,Registro!$F:$F,"04",Registro!$S:$S,"Rechazado")</f>
        <v>0</v>
      </c>
      <c r="M7" s="5">
        <f>COUNTIFS(Registro!$B:$B,$A7,Registro!$F:$F,"04",Registro!$S:$S,"Pendiente")</f>
        <v>0</v>
      </c>
      <c r="N7" s="5">
        <f>COUNTIFS(Registro!$B:$B,$A7,Registro!$F:$F,"05",Registro!$S:$S,"Aprobado")</f>
        <v>3</v>
      </c>
      <c r="O7" s="5">
        <f>COUNTIFS(Registro!$B:$B,$A7,Registro!$F:$F,"05",Registro!$S:$S,"Rechazado")</f>
        <v>0</v>
      </c>
      <c r="P7" s="5">
        <f>COUNTIFS(Registro!$B:$B,$A7,Registro!$F:$F,"05",Registro!$S:$S,"Pendiente")</f>
        <v>0</v>
      </c>
      <c r="Q7" s="5">
        <f>COUNTIFS(Registro!$B:$B,$A7,Registro!$F:$F,"06",Registro!$S:$S,"Aprobado")</f>
        <v>3</v>
      </c>
      <c r="R7" s="5">
        <f>COUNTIFS(Registro!$B:$B,$A7,Registro!$F:$F,"06",Registro!$S:$S,"Rechazado")</f>
        <v>0</v>
      </c>
      <c r="S7" s="5">
        <f>COUNTIFS(Registro!$B:$B,$A7,Registro!$F:$F,"06",Registro!$S:$S,"Pendiente")</f>
        <v>0</v>
      </c>
      <c r="T7" s="5">
        <f>COUNTIFS(Registro!$B:$B,$A7,Registro!$F:$F,"07",Registro!$S:$S,"Aprobado")</f>
        <v>3</v>
      </c>
      <c r="U7" s="5">
        <f>COUNTIFS(Registro!$B:$B,$A7,Registro!$F:$F,"07",Registro!$S:$S,"Rechazado")</f>
        <v>0</v>
      </c>
      <c r="V7" s="5">
        <f>COUNTIFS(Registro!$B:$B,$A7,Registro!$F:$F,"07",Registro!$S:$S,"Pendiente")</f>
        <v>0</v>
      </c>
      <c r="W7" s="5">
        <f>COUNTIFS(Registro!$B:$B,$A7,Registro!$F:$F,"08",Registro!$S:$S,"Aprobado")</f>
        <v>3</v>
      </c>
      <c r="X7" s="5">
        <f>COUNTIFS(Registro!$B:$B,$A7,Registro!$F:$F,"08",Registro!$S:$S,"Rechazado")</f>
        <v>0</v>
      </c>
      <c r="Y7" s="5">
        <f>COUNTIFS(Registro!$B:$B,$A7,Registro!$F:$F,"08",Registro!$S:$S,"Pendiente")</f>
        <v>0</v>
      </c>
      <c r="Z7" s="5">
        <f>COUNTIFS(Registro!$B:$B,$A7,Registro!$F:$F,"09",Registro!$S:$S,"Aprobado")</f>
        <v>3</v>
      </c>
      <c r="AA7" s="5">
        <f>COUNTIFS(Registro!$B:$B,$A7,Registro!$F:$F,"09",Registro!$S:$S,"Rechazado")</f>
        <v>0</v>
      </c>
      <c r="AB7" s="5">
        <f>COUNTIFS(Registro!$B:$B,$A7,Registro!$F:$F,"09",Registro!$S:$S,"Pendiente")</f>
        <v>0</v>
      </c>
      <c r="AC7" s="5" t="str">
        <f t="shared" si="0"/>
        <v>Aprobado</v>
      </c>
    </row>
    <row r="8" spans="1:29" x14ac:dyDescent="0.25">
      <c r="A8" s="5" t="s">
        <v>96</v>
      </c>
      <c r="B8" s="5">
        <f>COUNTIFS(Registro!$B:$B,$A8,Registro!$F:$F,"01",Registro!$S:$S,"Aprobado")</f>
        <v>2</v>
      </c>
      <c r="C8" s="5">
        <f>COUNTIFS(Registro!$B:$B,$A8,Registro!$F:$F,"01",Registro!$S:$S,"Rechazado")</f>
        <v>1</v>
      </c>
      <c r="D8" s="5">
        <f>COUNTIFS(Registro!$B:$B,$A8,Registro!$F:$F,"01",Registro!$S:$S,"Pendiente")</f>
        <v>0</v>
      </c>
      <c r="E8" s="5">
        <f>COUNTIFS(Registro!$B:$B,$A8,Registro!$F:$F,"02",Registro!$S:$S,"Aprobado")</f>
        <v>3</v>
      </c>
      <c r="F8" s="5">
        <f>COUNTIFS(Registro!$B:$B,$A8,Registro!$F:$F,"02",Registro!$S:$S,"Rechazado")</f>
        <v>0</v>
      </c>
      <c r="G8" s="5">
        <f>COUNTIFS(Registro!$B:$B,$A8,Registro!$F:$F,"02",Registro!$S:$S,"Pendiente")</f>
        <v>0</v>
      </c>
      <c r="H8" s="5">
        <f>COUNTIFS(Registro!$B:$B,$A8,Registro!$F:$F,"03",Registro!$S:$S,"Aprobado")</f>
        <v>3</v>
      </c>
      <c r="I8" s="5">
        <f>COUNTIFS(Registro!$B:$B,$A8,Registro!$F:$F,"03",Registro!$S:$S,"Rechazado")</f>
        <v>0</v>
      </c>
      <c r="J8" s="5">
        <f>COUNTIFS(Registro!$B:$B,$A8,Registro!$F:$F,"03",Registro!$S:$S,"Pendiente")</f>
        <v>0</v>
      </c>
      <c r="K8" s="5">
        <f>COUNTIFS(Registro!$B:$B,$A8,Registro!$F:$F,"04",Registro!$S:$S,"Aprobado")</f>
        <v>3</v>
      </c>
      <c r="L8" s="5">
        <f>COUNTIFS(Registro!$B:$B,$A8,Registro!$F:$F,"04",Registro!$S:$S,"Rechazado")</f>
        <v>0</v>
      </c>
      <c r="M8" s="5">
        <f>COUNTIFS(Registro!$B:$B,$A8,Registro!$F:$F,"04",Registro!$S:$S,"Pendiente")</f>
        <v>0</v>
      </c>
      <c r="N8" s="5">
        <f>COUNTIFS(Registro!$B:$B,$A8,Registro!$F:$F,"05",Registro!$S:$S,"Aprobado")</f>
        <v>3</v>
      </c>
      <c r="O8" s="5">
        <f>COUNTIFS(Registro!$B:$B,$A8,Registro!$F:$F,"05",Registro!$S:$S,"Rechazado")</f>
        <v>0</v>
      </c>
      <c r="P8" s="5">
        <f>COUNTIFS(Registro!$B:$B,$A8,Registro!$F:$F,"05",Registro!$S:$S,"Pendiente")</f>
        <v>0</v>
      </c>
      <c r="Q8" s="5">
        <f>COUNTIFS(Registro!$B:$B,$A8,Registro!$F:$F,"06",Registro!$S:$S,"Aprobado")</f>
        <v>3</v>
      </c>
      <c r="R8" s="5">
        <f>COUNTIFS(Registro!$B:$B,$A8,Registro!$F:$F,"06",Registro!$S:$S,"Rechazado")</f>
        <v>0</v>
      </c>
      <c r="S8" s="5">
        <f>COUNTIFS(Registro!$B:$B,$A8,Registro!$F:$F,"06",Registro!$S:$S,"Pendiente")</f>
        <v>0</v>
      </c>
      <c r="T8" s="5">
        <f>COUNTIFS(Registro!$B:$B,$A8,Registro!$F:$F,"07",Registro!$S:$S,"Aprobado")</f>
        <v>3</v>
      </c>
      <c r="U8" s="5">
        <f>COUNTIFS(Registro!$B:$B,$A8,Registro!$F:$F,"07",Registro!$S:$S,"Rechazado")</f>
        <v>0</v>
      </c>
      <c r="V8" s="5">
        <f>COUNTIFS(Registro!$B:$B,$A8,Registro!$F:$F,"07",Registro!$S:$S,"Pendiente")</f>
        <v>0</v>
      </c>
      <c r="W8" s="5">
        <f>COUNTIFS(Registro!$B:$B,$A8,Registro!$F:$F,"08",Registro!$S:$S,"Aprobado")</f>
        <v>3</v>
      </c>
      <c r="X8" s="5">
        <f>COUNTIFS(Registro!$B:$B,$A8,Registro!$F:$F,"08",Registro!$S:$S,"Rechazado")</f>
        <v>0</v>
      </c>
      <c r="Y8" s="5">
        <f>COUNTIFS(Registro!$B:$B,$A8,Registro!$F:$F,"08",Registro!$S:$S,"Pendiente")</f>
        <v>0</v>
      </c>
      <c r="Z8" s="5">
        <f>COUNTIFS(Registro!$B:$B,$A8,Registro!$F:$F,"09",Registro!$S:$S,"Aprobado")</f>
        <v>3</v>
      </c>
      <c r="AA8" s="5">
        <f>COUNTIFS(Registro!$B:$B,$A8,Registro!$F:$F,"09",Registro!$S:$S,"Rechazado")</f>
        <v>0</v>
      </c>
      <c r="AB8" s="5">
        <f>COUNTIFS(Registro!$B:$B,$A8,Registro!$F:$F,"09",Registro!$S:$S,"Pendiente")</f>
        <v>0</v>
      </c>
      <c r="AC8" s="5" t="str">
        <f t="shared" si="0"/>
        <v>Aprobado</v>
      </c>
    </row>
    <row r="9" spans="1:29" x14ac:dyDescent="0.25">
      <c r="A9" s="5" t="s">
        <v>109</v>
      </c>
      <c r="B9" s="5">
        <f>COUNTIFS(Registro!$B:$B,$A9,Registro!$F:$F,"01",Registro!$S:$S,"Aprobado")</f>
        <v>0</v>
      </c>
      <c r="C9" s="5">
        <f>COUNTIFS(Registro!$B:$B,$A9,Registro!$F:$F,"01",Registro!$S:$S,"Rechazado")</f>
        <v>1</v>
      </c>
      <c r="D9" s="5">
        <f>COUNTIFS(Registro!$B:$B,$A9,Registro!$F:$F,"01",Registro!$S:$S,"Pendiente")</f>
        <v>0</v>
      </c>
      <c r="E9" s="5">
        <f>COUNTIFS(Registro!$B:$B,$A9,Registro!$F:$F,"02",Registro!$S:$S,"Aprobado")</f>
        <v>1</v>
      </c>
      <c r="F9" s="5">
        <f>COUNTIFS(Registro!$B:$B,$A9,Registro!$F:$F,"02",Registro!$S:$S,"Rechazado")</f>
        <v>0</v>
      </c>
      <c r="G9" s="5">
        <f>COUNTIFS(Registro!$B:$B,$A9,Registro!$F:$F,"02",Registro!$S:$S,"Pendiente")</f>
        <v>0</v>
      </c>
      <c r="H9" s="5">
        <f>COUNTIFS(Registro!$B:$B,$A9,Registro!$F:$F,"03",Registro!$S:$S,"Aprobado")</f>
        <v>1</v>
      </c>
      <c r="I9" s="5">
        <f>COUNTIFS(Registro!$B:$B,$A9,Registro!$F:$F,"03",Registro!$S:$S,"Rechazado")</f>
        <v>0</v>
      </c>
      <c r="J9" s="5">
        <f>COUNTIFS(Registro!$B:$B,$A9,Registro!$F:$F,"03",Registro!$S:$S,"Pendiente")</f>
        <v>0</v>
      </c>
      <c r="K9" s="5">
        <f>COUNTIFS(Registro!$B:$B,$A9,Registro!$F:$F,"04",Registro!$S:$S,"Aprobado")</f>
        <v>1</v>
      </c>
      <c r="L9" s="5">
        <f>COUNTIFS(Registro!$B:$B,$A9,Registro!$F:$F,"04",Registro!$S:$S,"Rechazado")</f>
        <v>0</v>
      </c>
      <c r="M9" s="5">
        <f>COUNTIFS(Registro!$B:$B,$A9,Registro!$F:$F,"04",Registro!$S:$S,"Pendiente")</f>
        <v>0</v>
      </c>
      <c r="N9" s="5">
        <f>COUNTIFS(Registro!$B:$B,$A9,Registro!$F:$F,"05",Registro!$S:$S,"Aprobado")</f>
        <v>1</v>
      </c>
      <c r="O9" s="5">
        <f>COUNTIFS(Registro!$B:$B,$A9,Registro!$F:$F,"05",Registro!$S:$S,"Rechazado")</f>
        <v>0</v>
      </c>
      <c r="P9" s="5">
        <f>COUNTIFS(Registro!$B:$B,$A9,Registro!$F:$F,"05",Registro!$S:$S,"Pendiente")</f>
        <v>0</v>
      </c>
      <c r="Q9" s="5">
        <f>COUNTIFS(Registro!$B:$B,$A9,Registro!$F:$F,"06",Registro!$S:$S,"Aprobado")</f>
        <v>1</v>
      </c>
      <c r="R9" s="5">
        <f>COUNTIFS(Registro!$B:$B,$A9,Registro!$F:$F,"06",Registro!$S:$S,"Rechazado")</f>
        <v>0</v>
      </c>
      <c r="S9" s="5">
        <f>COUNTIFS(Registro!$B:$B,$A9,Registro!$F:$F,"06",Registro!$S:$S,"Pendiente")</f>
        <v>0</v>
      </c>
      <c r="T9" s="5">
        <f>COUNTIFS(Registro!$B:$B,$A9,Registro!$F:$F,"07",Registro!$S:$S,"Aprobado")</f>
        <v>1</v>
      </c>
      <c r="U9" s="5">
        <f>COUNTIFS(Registro!$B:$B,$A9,Registro!$F:$F,"07",Registro!$S:$S,"Rechazado")</f>
        <v>0</v>
      </c>
      <c r="V9" s="5">
        <f>COUNTIFS(Registro!$B:$B,$A9,Registro!$F:$F,"07",Registro!$S:$S,"Pendiente")</f>
        <v>0</v>
      </c>
      <c r="W9" s="5">
        <f>COUNTIFS(Registro!$B:$B,$A9,Registro!$F:$F,"08",Registro!$S:$S,"Aprobado")</f>
        <v>1</v>
      </c>
      <c r="X9" s="5">
        <f>COUNTIFS(Registro!$B:$B,$A9,Registro!$F:$F,"08",Registro!$S:$S,"Rechazado")</f>
        <v>0</v>
      </c>
      <c r="Y9" s="5">
        <f>COUNTIFS(Registro!$B:$B,$A9,Registro!$F:$F,"08",Registro!$S:$S,"Pendiente")</f>
        <v>0</v>
      </c>
      <c r="Z9" s="5">
        <f>COUNTIFS(Registro!$B:$B,$A9,Registro!$F:$F,"09",Registro!$S:$S,"Aprobado")</f>
        <v>1</v>
      </c>
      <c r="AA9" s="5">
        <f>COUNTIFS(Registro!$B:$B,$A9,Registro!$F:$F,"09",Registro!$S:$S,"Rechazado")</f>
        <v>0</v>
      </c>
      <c r="AB9" s="5">
        <f>COUNTIFS(Registro!$B:$B,$A9,Registro!$F:$F,"09",Registro!$S:$S,"Pendiente")</f>
        <v>0</v>
      </c>
      <c r="AC9" s="5" t="str">
        <f t="shared" si="0"/>
        <v>Aprobado</v>
      </c>
    </row>
    <row r="10" spans="1:29" x14ac:dyDescent="0.25">
      <c r="A10" s="5" t="s">
        <v>120</v>
      </c>
      <c r="B10" s="5">
        <f>COUNTIFS(Registro!$B:$B,$A10,Registro!$F:$F,"01",Registro!$S:$S,"Aprobado")</f>
        <v>3</v>
      </c>
      <c r="C10" s="5">
        <f>COUNTIFS(Registro!$B:$B,$A10,Registro!$F:$F,"01",Registro!$S:$S,"Rechazado")</f>
        <v>0</v>
      </c>
      <c r="D10" s="5">
        <f>COUNTIFS(Registro!$B:$B,$A10,Registro!$F:$F,"01",Registro!$S:$S,"Pendiente")</f>
        <v>0</v>
      </c>
      <c r="E10" s="5">
        <f>COUNTIFS(Registro!$B:$B,$A10,Registro!$F:$F,"02",Registro!$S:$S,"Aprobado")</f>
        <v>3</v>
      </c>
      <c r="F10" s="5">
        <f>COUNTIFS(Registro!$B:$B,$A10,Registro!$F:$F,"02",Registro!$S:$S,"Rechazado")</f>
        <v>0</v>
      </c>
      <c r="G10" s="5">
        <f>COUNTIFS(Registro!$B:$B,$A10,Registro!$F:$F,"02",Registro!$S:$S,"Pendiente")</f>
        <v>0</v>
      </c>
      <c r="H10" s="5">
        <f>COUNTIFS(Registro!$B:$B,$A10,Registro!$F:$F,"03",Registro!$S:$S,"Aprobado")</f>
        <v>3</v>
      </c>
      <c r="I10" s="5">
        <f>COUNTIFS(Registro!$B:$B,$A10,Registro!$F:$F,"03",Registro!$S:$S,"Rechazado")</f>
        <v>0</v>
      </c>
      <c r="J10" s="5">
        <f>COUNTIFS(Registro!$B:$B,$A10,Registro!$F:$F,"03",Registro!$S:$S,"Pendiente")</f>
        <v>0</v>
      </c>
      <c r="K10" s="5">
        <f>COUNTIFS(Registro!$B:$B,$A10,Registro!$F:$F,"04",Registro!$S:$S,"Aprobado")</f>
        <v>3</v>
      </c>
      <c r="L10" s="5">
        <f>COUNTIFS(Registro!$B:$B,$A10,Registro!$F:$F,"04",Registro!$S:$S,"Rechazado")</f>
        <v>0</v>
      </c>
      <c r="M10" s="5">
        <f>COUNTIFS(Registro!$B:$B,$A10,Registro!$F:$F,"04",Registro!$S:$S,"Pendiente")</f>
        <v>0</v>
      </c>
      <c r="N10" s="5">
        <f>COUNTIFS(Registro!$B:$B,$A10,Registro!$F:$F,"05",Registro!$S:$S,"Aprobado")</f>
        <v>3</v>
      </c>
      <c r="O10" s="5">
        <f>COUNTIFS(Registro!$B:$B,$A10,Registro!$F:$F,"05",Registro!$S:$S,"Rechazado")</f>
        <v>0</v>
      </c>
      <c r="P10" s="5">
        <f>COUNTIFS(Registro!$B:$B,$A10,Registro!$F:$F,"05",Registro!$S:$S,"Pendiente")</f>
        <v>0</v>
      </c>
      <c r="Q10" s="5">
        <f>COUNTIFS(Registro!$B:$B,$A10,Registro!$F:$F,"06",Registro!$S:$S,"Aprobado")</f>
        <v>3</v>
      </c>
      <c r="R10" s="5">
        <f>COUNTIFS(Registro!$B:$B,$A10,Registro!$F:$F,"06",Registro!$S:$S,"Rechazado")</f>
        <v>0</v>
      </c>
      <c r="S10" s="5">
        <f>COUNTIFS(Registro!$B:$B,$A10,Registro!$F:$F,"06",Registro!$S:$S,"Pendiente")</f>
        <v>0</v>
      </c>
      <c r="T10" s="5">
        <f>COUNTIFS(Registro!$B:$B,$A10,Registro!$F:$F,"07",Registro!$S:$S,"Aprobado")</f>
        <v>3</v>
      </c>
      <c r="U10" s="5">
        <f>COUNTIFS(Registro!$B:$B,$A10,Registro!$F:$F,"07",Registro!$S:$S,"Rechazado")</f>
        <v>0</v>
      </c>
      <c r="V10" s="5">
        <f>COUNTIFS(Registro!$B:$B,$A10,Registro!$F:$F,"07",Registro!$S:$S,"Pendiente")</f>
        <v>0</v>
      </c>
      <c r="W10" s="5">
        <f>COUNTIFS(Registro!$B:$B,$A10,Registro!$F:$F,"08",Registro!$S:$S,"Aprobado")</f>
        <v>3</v>
      </c>
      <c r="X10" s="5">
        <f>COUNTIFS(Registro!$B:$B,$A10,Registro!$F:$F,"08",Registro!$S:$S,"Rechazado")</f>
        <v>0</v>
      </c>
      <c r="Y10" s="5">
        <f>COUNTIFS(Registro!$B:$B,$A10,Registro!$F:$F,"08",Registro!$S:$S,"Pendiente")</f>
        <v>0</v>
      </c>
      <c r="Z10" s="5">
        <f>COUNTIFS(Registro!$B:$B,$A10,Registro!$F:$F,"09",Registro!$S:$S,"Aprobado")</f>
        <v>3</v>
      </c>
      <c r="AA10" s="5">
        <f>COUNTIFS(Registro!$B:$B,$A10,Registro!$F:$F,"09",Registro!$S:$S,"Rechazado")</f>
        <v>0</v>
      </c>
      <c r="AB10" s="5">
        <f>COUNTIFS(Registro!$B:$B,$A10,Registro!$F:$F,"09",Registro!$S:$S,"Pendiente")</f>
        <v>0</v>
      </c>
      <c r="AC10" s="5" t="str">
        <f t="shared" si="0"/>
        <v>Aprobado</v>
      </c>
    </row>
    <row r="11" spans="1:29" x14ac:dyDescent="0.25">
      <c r="A11" s="6" t="s">
        <v>659</v>
      </c>
      <c r="B11" s="5">
        <f t="shared" ref="B11:AB11" si="1">SUM(B2:B10)</f>
        <v>18</v>
      </c>
      <c r="C11" s="5">
        <f t="shared" si="1"/>
        <v>7</v>
      </c>
      <c r="D11" s="5">
        <f t="shared" si="1"/>
        <v>0</v>
      </c>
      <c r="E11" s="5">
        <f t="shared" si="1"/>
        <v>24</v>
      </c>
      <c r="F11" s="5">
        <f t="shared" si="1"/>
        <v>1</v>
      </c>
      <c r="G11" s="5">
        <f t="shared" si="1"/>
        <v>0</v>
      </c>
      <c r="H11" s="5">
        <f t="shared" si="1"/>
        <v>24</v>
      </c>
      <c r="I11" s="5">
        <f t="shared" si="1"/>
        <v>1</v>
      </c>
      <c r="J11" s="5">
        <f t="shared" si="1"/>
        <v>0</v>
      </c>
      <c r="K11" s="5">
        <f t="shared" si="1"/>
        <v>24</v>
      </c>
      <c r="L11" s="5">
        <f t="shared" si="1"/>
        <v>1</v>
      </c>
      <c r="M11" s="5">
        <f t="shared" si="1"/>
        <v>0</v>
      </c>
      <c r="N11" s="5">
        <f t="shared" si="1"/>
        <v>25</v>
      </c>
      <c r="O11" s="5">
        <f t="shared" si="1"/>
        <v>0</v>
      </c>
      <c r="P11" s="5">
        <f t="shared" si="1"/>
        <v>0</v>
      </c>
      <c r="Q11" s="5">
        <f t="shared" si="1"/>
        <v>25</v>
      </c>
      <c r="R11" s="5">
        <f t="shared" si="1"/>
        <v>0</v>
      </c>
      <c r="S11" s="5">
        <f t="shared" si="1"/>
        <v>0</v>
      </c>
      <c r="T11" s="5">
        <f t="shared" si="1"/>
        <v>25</v>
      </c>
      <c r="U11" s="5">
        <f t="shared" si="1"/>
        <v>0</v>
      </c>
      <c r="V11" s="5">
        <f t="shared" si="1"/>
        <v>0</v>
      </c>
      <c r="W11" s="5">
        <f t="shared" si="1"/>
        <v>25</v>
      </c>
      <c r="X11" s="5">
        <f t="shared" si="1"/>
        <v>0</v>
      </c>
      <c r="Y11" s="5">
        <f t="shared" si="1"/>
        <v>0</v>
      </c>
      <c r="Z11" s="5">
        <f t="shared" si="1"/>
        <v>25</v>
      </c>
      <c r="AA11" s="5">
        <f t="shared" si="1"/>
        <v>0</v>
      </c>
      <c r="AB11" s="5">
        <f t="shared" si="1"/>
        <v>0</v>
      </c>
      <c r="AC11" s="5"/>
    </row>
  </sheetData>
  <conditionalFormatting sqref="AC2:AC11">
    <cfRule type="cellIs" dxfId="1" priority="1" operator="equal">
      <formula>"Aprobado"</formula>
    </cfRule>
    <cfRule type="cellIs" dxfId="0" priority="2" operator="equal">
      <formula>"Rechazado"</formula>
    </cfRule>
  </conditionalFormatting>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30"/>
  <sheetViews>
    <sheetView zoomScale="90" workbookViewId="0">
      <pane ySplit="1" topLeftCell="A2" activePane="bottomLeft" state="frozen"/>
      <selection pane="bottomLeft"/>
    </sheetView>
  </sheetViews>
  <sheetFormatPr baseColWidth="10" defaultColWidth="9.140625" defaultRowHeight="15" x14ac:dyDescent="0.25"/>
  <cols>
    <col min="1" max="1" width="9" customWidth="1"/>
    <col min="2" max="2" width="70" customWidth="1"/>
    <col min="3" max="3" width="12" customWidth="1"/>
    <col min="4" max="5" width="22" customWidth="1"/>
    <col min="6" max="6" width="14" customWidth="1"/>
  </cols>
  <sheetData>
    <row r="1" spans="1:6" ht="33.950000000000003" customHeight="1" x14ac:dyDescent="0.25">
      <c r="A1" s="4" t="s">
        <v>132</v>
      </c>
      <c r="B1" s="4" t="s">
        <v>142</v>
      </c>
      <c r="C1" s="4" t="s">
        <v>332</v>
      </c>
      <c r="D1" s="4" t="s">
        <v>660</v>
      </c>
      <c r="E1" s="4" t="s">
        <v>661</v>
      </c>
      <c r="F1" s="4" t="s">
        <v>662</v>
      </c>
    </row>
    <row r="2" spans="1:6" ht="30" x14ac:dyDescent="0.25">
      <c r="A2" s="5" t="s">
        <v>663</v>
      </c>
      <c r="B2" s="5" t="s">
        <v>664</v>
      </c>
      <c r="C2" s="5" t="s">
        <v>665</v>
      </c>
      <c r="D2" s="5" t="s">
        <v>666</v>
      </c>
      <c r="E2" s="5" t="s">
        <v>667</v>
      </c>
      <c r="F2" s="5" t="s">
        <v>667</v>
      </c>
    </row>
    <row r="3" spans="1:6" x14ac:dyDescent="0.25">
      <c r="A3" s="5" t="s">
        <v>668</v>
      </c>
      <c r="B3" s="5" t="s">
        <v>669</v>
      </c>
      <c r="C3" s="5" t="s">
        <v>665</v>
      </c>
      <c r="D3" s="5" t="s">
        <v>666</v>
      </c>
      <c r="E3" s="5" t="s">
        <v>667</v>
      </c>
      <c r="F3" s="5" t="s">
        <v>667</v>
      </c>
    </row>
    <row r="4" spans="1:6" x14ac:dyDescent="0.25">
      <c r="A4" s="5" t="s">
        <v>670</v>
      </c>
      <c r="B4" s="5" t="s">
        <v>671</v>
      </c>
      <c r="C4" s="5" t="s">
        <v>665</v>
      </c>
      <c r="D4" s="5" t="s">
        <v>666</v>
      </c>
      <c r="E4" s="5" t="s">
        <v>667</v>
      </c>
      <c r="F4" s="5" t="s">
        <v>667</v>
      </c>
    </row>
    <row r="5" spans="1:6" x14ac:dyDescent="0.25">
      <c r="A5" s="5" t="s">
        <v>672</v>
      </c>
      <c r="B5" s="5" t="s">
        <v>673</v>
      </c>
      <c r="C5" s="5" t="s">
        <v>665</v>
      </c>
      <c r="D5" s="5" t="s">
        <v>666</v>
      </c>
      <c r="E5" s="5" t="s">
        <v>667</v>
      </c>
      <c r="F5" s="5" t="s">
        <v>667</v>
      </c>
    </row>
    <row r="6" spans="1:6" x14ac:dyDescent="0.25">
      <c r="A6" s="5" t="s">
        <v>674</v>
      </c>
      <c r="B6" s="5" t="s">
        <v>675</v>
      </c>
      <c r="C6" s="5" t="s">
        <v>665</v>
      </c>
      <c r="D6" s="5" t="s">
        <v>666</v>
      </c>
      <c r="E6" s="5" t="s">
        <v>667</v>
      </c>
      <c r="F6" s="5" t="s">
        <v>667</v>
      </c>
    </row>
    <row r="7" spans="1:6" x14ac:dyDescent="0.25">
      <c r="A7" s="5" t="s">
        <v>676</v>
      </c>
      <c r="B7" s="5" t="s">
        <v>677</v>
      </c>
      <c r="C7" s="5" t="s">
        <v>665</v>
      </c>
      <c r="D7" s="5" t="s">
        <v>666</v>
      </c>
      <c r="E7" s="5" t="s">
        <v>667</v>
      </c>
      <c r="F7" s="5" t="s">
        <v>667</v>
      </c>
    </row>
    <row r="8" spans="1:6" x14ac:dyDescent="0.25">
      <c r="A8" s="5" t="s">
        <v>678</v>
      </c>
      <c r="B8" s="5" t="s">
        <v>679</v>
      </c>
      <c r="C8" s="5" t="s">
        <v>665</v>
      </c>
      <c r="D8" s="5" t="s">
        <v>666</v>
      </c>
      <c r="E8" s="5" t="s">
        <v>667</v>
      </c>
      <c r="F8" s="5" t="s">
        <v>667</v>
      </c>
    </row>
    <row r="9" spans="1:6" x14ac:dyDescent="0.25">
      <c r="A9" s="5" t="s">
        <v>680</v>
      </c>
      <c r="B9" s="5" t="s">
        <v>681</v>
      </c>
      <c r="C9" s="5" t="s">
        <v>665</v>
      </c>
      <c r="D9" s="5" t="s">
        <v>666</v>
      </c>
      <c r="E9" s="5" t="s">
        <v>667</v>
      </c>
      <c r="F9" s="5" t="s">
        <v>667</v>
      </c>
    </row>
    <row r="10" spans="1:6" x14ac:dyDescent="0.25">
      <c r="A10" s="5" t="s">
        <v>682</v>
      </c>
      <c r="B10" s="5" t="s">
        <v>683</v>
      </c>
      <c r="C10" s="5" t="s">
        <v>665</v>
      </c>
      <c r="D10" s="5" t="s">
        <v>666</v>
      </c>
      <c r="E10" s="5" t="s">
        <v>667</v>
      </c>
      <c r="F10" s="5" t="s">
        <v>667</v>
      </c>
    </row>
    <row r="11" spans="1:6" x14ac:dyDescent="0.25">
      <c r="A11" s="5" t="s">
        <v>684</v>
      </c>
      <c r="B11" s="5" t="s">
        <v>685</v>
      </c>
      <c r="C11" s="5" t="s">
        <v>665</v>
      </c>
      <c r="D11" s="5" t="s">
        <v>666</v>
      </c>
      <c r="E11" s="5" t="s">
        <v>667</v>
      </c>
      <c r="F11" s="5" t="s">
        <v>667</v>
      </c>
    </row>
    <row r="12" spans="1:6" x14ac:dyDescent="0.25">
      <c r="A12" s="5" t="s">
        <v>205</v>
      </c>
      <c r="B12" s="5" t="s">
        <v>686</v>
      </c>
      <c r="C12" s="5" t="s">
        <v>665</v>
      </c>
      <c r="D12" s="5" t="s">
        <v>666</v>
      </c>
      <c r="E12" s="5" t="s">
        <v>667</v>
      </c>
      <c r="F12" s="5" t="s">
        <v>667</v>
      </c>
    </row>
    <row r="13" spans="1:6" x14ac:dyDescent="0.25">
      <c r="A13" s="5" t="s">
        <v>687</v>
      </c>
      <c r="B13" s="5" t="s">
        <v>688</v>
      </c>
      <c r="C13" s="5" t="s">
        <v>665</v>
      </c>
      <c r="D13" s="5" t="s">
        <v>666</v>
      </c>
      <c r="E13" s="5" t="s">
        <v>667</v>
      </c>
      <c r="F13" s="5" t="s">
        <v>667</v>
      </c>
    </row>
    <row r="14" spans="1:6" x14ac:dyDescent="0.25">
      <c r="A14" s="5" t="s">
        <v>689</v>
      </c>
      <c r="B14" s="5" t="s">
        <v>690</v>
      </c>
      <c r="C14" s="5" t="s">
        <v>665</v>
      </c>
      <c r="D14" s="5" t="s">
        <v>666</v>
      </c>
      <c r="E14" s="5" t="s">
        <v>667</v>
      </c>
      <c r="F14" s="5" t="s">
        <v>667</v>
      </c>
    </row>
    <row r="15" spans="1:6" x14ac:dyDescent="0.25">
      <c r="A15" s="5" t="s">
        <v>691</v>
      </c>
      <c r="B15" s="5" t="s">
        <v>692</v>
      </c>
      <c r="C15" s="5" t="s">
        <v>665</v>
      </c>
      <c r="D15" s="5" t="s">
        <v>666</v>
      </c>
      <c r="E15" s="5" t="s">
        <v>667</v>
      </c>
      <c r="F15" s="5" t="s">
        <v>667</v>
      </c>
    </row>
    <row r="16" spans="1:6" x14ac:dyDescent="0.25">
      <c r="A16" s="5" t="s">
        <v>693</v>
      </c>
      <c r="B16" s="5" t="s">
        <v>694</v>
      </c>
      <c r="C16" s="5" t="s">
        <v>665</v>
      </c>
      <c r="D16" s="5" t="s">
        <v>666</v>
      </c>
      <c r="E16" s="5" t="s">
        <v>667</v>
      </c>
      <c r="F16" s="5" t="s">
        <v>667</v>
      </c>
    </row>
    <row r="17" spans="1:6" ht="30" x14ac:dyDescent="0.25">
      <c r="A17" s="5" t="s">
        <v>695</v>
      </c>
      <c r="B17" s="5" t="s">
        <v>696</v>
      </c>
      <c r="C17" s="5" t="s">
        <v>697</v>
      </c>
      <c r="D17" s="5" t="s">
        <v>31</v>
      </c>
      <c r="E17" s="5" t="s">
        <v>667</v>
      </c>
      <c r="F17" s="5" t="s">
        <v>179</v>
      </c>
    </row>
    <row r="18" spans="1:6" ht="30" x14ac:dyDescent="0.25">
      <c r="A18" s="5" t="s">
        <v>698</v>
      </c>
      <c r="B18" s="5" t="s">
        <v>699</v>
      </c>
      <c r="C18" s="5" t="s">
        <v>697</v>
      </c>
      <c r="D18" s="5" t="s">
        <v>33</v>
      </c>
      <c r="E18" s="5" t="s">
        <v>667</v>
      </c>
      <c r="F18" s="5" t="s">
        <v>179</v>
      </c>
    </row>
    <row r="19" spans="1:6" ht="30" x14ac:dyDescent="0.25">
      <c r="A19" s="5" t="s">
        <v>700</v>
      </c>
      <c r="B19" s="5" t="s">
        <v>701</v>
      </c>
      <c r="C19" s="5" t="s">
        <v>697</v>
      </c>
      <c r="D19" s="5" t="s">
        <v>39</v>
      </c>
      <c r="E19" s="5" t="s">
        <v>667</v>
      </c>
      <c r="F19" s="5" t="s">
        <v>179</v>
      </c>
    </row>
    <row r="20" spans="1:6" ht="30" x14ac:dyDescent="0.25">
      <c r="A20" s="5" t="s">
        <v>702</v>
      </c>
      <c r="B20" s="5" t="s">
        <v>703</v>
      </c>
      <c r="C20" s="5" t="s">
        <v>697</v>
      </c>
      <c r="D20" s="5" t="s">
        <v>41</v>
      </c>
      <c r="E20" s="5" t="s">
        <v>667</v>
      </c>
      <c r="F20" s="5" t="s">
        <v>179</v>
      </c>
    </row>
    <row r="21" spans="1:6" ht="30" x14ac:dyDescent="0.25">
      <c r="A21" s="5" t="s">
        <v>233</v>
      </c>
      <c r="B21" s="5" t="s">
        <v>704</v>
      </c>
      <c r="C21" s="5" t="s">
        <v>697</v>
      </c>
      <c r="D21" s="5" t="s">
        <v>705</v>
      </c>
      <c r="E21" s="5" t="s">
        <v>667</v>
      </c>
      <c r="F21" s="5" t="s">
        <v>179</v>
      </c>
    </row>
    <row r="22" spans="1:6" ht="30" x14ac:dyDescent="0.25">
      <c r="A22" s="5" t="s">
        <v>220</v>
      </c>
      <c r="B22" s="5" t="s">
        <v>706</v>
      </c>
      <c r="C22" s="5" t="s">
        <v>697</v>
      </c>
      <c r="D22" s="5" t="s">
        <v>59</v>
      </c>
      <c r="E22" s="5" t="s">
        <v>667</v>
      </c>
      <c r="F22" s="5" t="s">
        <v>179</v>
      </c>
    </row>
    <row r="23" spans="1:6" ht="30" x14ac:dyDescent="0.25">
      <c r="A23" s="5" t="s">
        <v>239</v>
      </c>
      <c r="B23" s="5" t="s">
        <v>707</v>
      </c>
      <c r="C23" s="5" t="s">
        <v>697</v>
      </c>
      <c r="D23" s="5" t="s">
        <v>708</v>
      </c>
      <c r="E23" s="5" t="s">
        <v>667</v>
      </c>
      <c r="F23" s="5" t="s">
        <v>179</v>
      </c>
    </row>
    <row r="24" spans="1:6" ht="30" x14ac:dyDescent="0.25">
      <c r="A24" s="5" t="s">
        <v>247</v>
      </c>
      <c r="B24" s="5" t="s">
        <v>709</v>
      </c>
      <c r="C24" s="5" t="s">
        <v>697</v>
      </c>
      <c r="D24" s="5" t="s">
        <v>75</v>
      </c>
      <c r="E24" s="5" t="s">
        <v>667</v>
      </c>
      <c r="F24" s="5" t="s">
        <v>179</v>
      </c>
    </row>
    <row r="25" spans="1:6" ht="30" x14ac:dyDescent="0.25">
      <c r="A25" s="5" t="s">
        <v>710</v>
      </c>
      <c r="B25" s="5" t="s">
        <v>711</v>
      </c>
      <c r="C25" s="5" t="s">
        <v>697</v>
      </c>
      <c r="D25" s="5" t="s">
        <v>84</v>
      </c>
      <c r="E25" s="5" t="s">
        <v>667</v>
      </c>
      <c r="F25" s="5" t="s">
        <v>179</v>
      </c>
    </row>
    <row r="26" spans="1:6" ht="30" x14ac:dyDescent="0.25">
      <c r="A26" s="5" t="s">
        <v>275</v>
      </c>
      <c r="B26" s="5" t="s">
        <v>712</v>
      </c>
      <c r="C26" s="5" t="s">
        <v>697</v>
      </c>
      <c r="D26" s="5" t="s">
        <v>86</v>
      </c>
      <c r="E26" s="5" t="s">
        <v>667</v>
      </c>
      <c r="F26" s="5" t="s">
        <v>179</v>
      </c>
    </row>
    <row r="27" spans="1:6" ht="30" x14ac:dyDescent="0.25">
      <c r="A27" s="5" t="s">
        <v>282</v>
      </c>
      <c r="B27" s="5" t="s">
        <v>713</v>
      </c>
      <c r="C27" s="5" t="s">
        <v>697</v>
      </c>
      <c r="D27" s="5" t="s">
        <v>88</v>
      </c>
      <c r="E27" s="5" t="s">
        <v>667</v>
      </c>
      <c r="F27" s="5" t="s">
        <v>179</v>
      </c>
    </row>
    <row r="28" spans="1:6" ht="30" x14ac:dyDescent="0.25">
      <c r="A28" s="5" t="s">
        <v>288</v>
      </c>
      <c r="B28" s="5" t="s">
        <v>714</v>
      </c>
      <c r="C28" s="5" t="s">
        <v>697</v>
      </c>
      <c r="D28" s="5" t="s">
        <v>715</v>
      </c>
      <c r="E28" s="5" t="s">
        <v>667</v>
      </c>
      <c r="F28" s="5" t="s">
        <v>179</v>
      </c>
    </row>
    <row r="29" spans="1:6" ht="30" x14ac:dyDescent="0.25">
      <c r="A29" s="5" t="s">
        <v>309</v>
      </c>
      <c r="B29" s="5" t="s">
        <v>716</v>
      </c>
      <c r="C29" s="5" t="s">
        <v>697</v>
      </c>
      <c r="D29" s="5" t="s">
        <v>112</v>
      </c>
      <c r="E29" s="5" t="s">
        <v>667</v>
      </c>
      <c r="F29" s="5" t="s">
        <v>179</v>
      </c>
    </row>
    <row r="30" spans="1:6" ht="30" x14ac:dyDescent="0.25">
      <c r="A30" s="5" t="s">
        <v>315</v>
      </c>
      <c r="B30" s="5" t="s">
        <v>717</v>
      </c>
      <c r="C30" s="5" t="s">
        <v>697</v>
      </c>
      <c r="D30" s="5" t="s">
        <v>718</v>
      </c>
      <c r="E30" s="5" t="s">
        <v>667</v>
      </c>
      <c r="F30" s="5" t="s">
        <v>179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Instrucciones</vt:lpstr>
      <vt:lpstr>Modelo</vt:lpstr>
      <vt:lpstr>Métricas</vt:lpstr>
      <vt:lpstr>Registro</vt:lpstr>
      <vt:lpstr>Incidentes</vt:lpstr>
      <vt:lpstr>Resumen</vt:lpstr>
      <vt:lpstr>Requisitos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Registro de métricas ISO/IEC 25010 – VigiSalud Malaria</dc:title>
  <dc:creator>Cari Quispe, Chura Monroy, Lopez Arela, Phocco Tapia, Zegarra Puma</dc:creator>
  <cp:lastModifiedBy>Ower Frank</cp:lastModifiedBy>
  <dcterms:created xsi:type="dcterms:W3CDTF">2026-10-27T12:25:02Z</dcterms:created>
  <dcterms:modified xsi:type="dcterms:W3CDTF">2026-10-27T12:35:25Z</dcterms:modified>
</cp:coreProperties>
</file>